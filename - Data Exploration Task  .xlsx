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5e99fe3c6b228e8/Documents/femi/"/>
    </mc:Choice>
  </mc:AlternateContent>
  <xr:revisionPtr revIDLastSave="0" documentId="8_{61D5601B-ED94-4AE0-B1CB-BAA1457BAD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AP26" i="1"/>
  <c r="AP27" i="1"/>
  <c r="AP25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S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R2" i="1"/>
  <c r="Q2" i="1" s="1"/>
  <c r="R3" i="1"/>
  <c r="Q3" i="1" s="1"/>
  <c r="R4" i="1"/>
  <c r="Q4" i="1" s="1"/>
  <c r="R5" i="1"/>
  <c r="Q5" i="1" s="1"/>
  <c r="R6" i="1"/>
  <c r="Q6" i="1" s="1"/>
  <c r="R7" i="1"/>
  <c r="Q7" i="1" s="1"/>
  <c r="R8" i="1"/>
  <c r="Q8" i="1" s="1"/>
  <c r="R9" i="1"/>
  <c r="Q9" i="1" s="1"/>
  <c r="R10" i="1"/>
  <c r="Q10" i="1" s="1"/>
  <c r="R11" i="1"/>
  <c r="Q11" i="1" s="1"/>
  <c r="R12" i="1"/>
  <c r="Q12" i="1" s="1"/>
  <c r="R13" i="1"/>
  <c r="Q13" i="1" s="1"/>
  <c r="R14" i="1"/>
  <c r="Q14" i="1" s="1"/>
  <c r="R15" i="1"/>
  <c r="Q15" i="1" s="1"/>
  <c r="R16" i="1"/>
  <c r="Q16" i="1" s="1"/>
  <c r="R17" i="1"/>
  <c r="Q17" i="1" s="1"/>
  <c r="R18" i="1"/>
  <c r="Q18" i="1" s="1"/>
  <c r="R19" i="1"/>
  <c r="Q19" i="1" s="1"/>
  <c r="R20" i="1"/>
  <c r="Q20" i="1" s="1"/>
  <c r="R21" i="1"/>
  <c r="Q21" i="1" s="1"/>
  <c r="R22" i="1"/>
  <c r="Q22" i="1" s="1"/>
  <c r="R23" i="1"/>
  <c r="Q23" i="1" s="1"/>
  <c r="R24" i="1"/>
  <c r="Q24" i="1" s="1"/>
  <c r="R25" i="1"/>
  <c r="Q25" i="1" s="1"/>
  <c r="R26" i="1"/>
  <c r="Q26" i="1" s="1"/>
  <c r="R27" i="1"/>
  <c r="Q27" i="1" s="1"/>
  <c r="R28" i="1"/>
  <c r="Q28" i="1" s="1"/>
  <c r="R29" i="1"/>
  <c r="Q29" i="1" s="1"/>
  <c r="R30" i="1"/>
  <c r="Q30" i="1" s="1"/>
  <c r="R31" i="1"/>
  <c r="Q31" i="1" s="1"/>
  <c r="R32" i="1"/>
  <c r="Q32" i="1" s="1"/>
  <c r="R33" i="1"/>
  <c r="Q33" i="1" s="1"/>
  <c r="R34" i="1"/>
  <c r="Q34" i="1" s="1"/>
  <c r="R35" i="1"/>
  <c r="Q35" i="1" s="1"/>
  <c r="R36" i="1"/>
  <c r="Q36" i="1" s="1"/>
  <c r="R37" i="1"/>
  <c r="Q37" i="1" s="1"/>
  <c r="R38" i="1"/>
  <c r="Q38" i="1" s="1"/>
  <c r="R39" i="1"/>
  <c r="Q39" i="1" s="1"/>
  <c r="R40" i="1"/>
  <c r="Q40" i="1" s="1"/>
  <c r="R41" i="1"/>
  <c r="Q41" i="1" s="1"/>
  <c r="R42" i="1"/>
  <c r="Q42" i="1" s="1"/>
  <c r="R43" i="1"/>
  <c r="Q43" i="1" s="1"/>
  <c r="R44" i="1"/>
  <c r="Q44" i="1" s="1"/>
  <c r="R45" i="1"/>
  <c r="Q45" i="1" s="1"/>
  <c r="R46" i="1"/>
  <c r="Q46" i="1" s="1"/>
  <c r="R47" i="1"/>
  <c r="Q47" i="1" s="1"/>
  <c r="R48" i="1"/>
  <c r="Q48" i="1" s="1"/>
  <c r="R49" i="1"/>
  <c r="Q49" i="1" s="1"/>
  <c r="R50" i="1"/>
  <c r="Q50" i="1" s="1"/>
  <c r="R51" i="1"/>
  <c r="Q51" i="1" s="1"/>
  <c r="R52" i="1"/>
  <c r="Q52" i="1" s="1"/>
  <c r="R53" i="1"/>
  <c r="Q53" i="1" s="1"/>
  <c r="R54" i="1"/>
  <c r="Q54" i="1" s="1"/>
  <c r="R55" i="1"/>
  <c r="Q55" i="1" s="1"/>
  <c r="R56" i="1"/>
  <c r="Q56" i="1" s="1"/>
  <c r="R57" i="1"/>
  <c r="Q57" i="1" s="1"/>
  <c r="R58" i="1"/>
  <c r="Q58" i="1" s="1"/>
  <c r="R59" i="1"/>
  <c r="Q59" i="1" s="1"/>
  <c r="R60" i="1"/>
  <c r="Q60" i="1" s="1"/>
  <c r="R61" i="1"/>
  <c r="Q61" i="1" s="1"/>
  <c r="R62" i="1"/>
  <c r="Q62" i="1" s="1"/>
  <c r="R63" i="1"/>
  <c r="Q63" i="1" s="1"/>
  <c r="R64" i="1"/>
  <c r="Q64" i="1" s="1"/>
  <c r="R65" i="1"/>
  <c r="Q65" i="1" s="1"/>
  <c r="R66" i="1"/>
  <c r="Q66" i="1" s="1"/>
  <c r="R67" i="1"/>
  <c r="Q67" i="1" s="1"/>
  <c r="R68" i="1"/>
  <c r="Q68" i="1" s="1"/>
  <c r="R69" i="1"/>
  <c r="Q69" i="1" s="1"/>
  <c r="R70" i="1"/>
  <c r="Q70" i="1" s="1"/>
  <c r="R71" i="1"/>
  <c r="Q71" i="1" s="1"/>
  <c r="R72" i="1"/>
  <c r="Q72" i="1" s="1"/>
  <c r="R73" i="1"/>
  <c r="Q73" i="1" s="1"/>
  <c r="R74" i="1"/>
  <c r="Q74" i="1" s="1"/>
  <c r="R75" i="1"/>
  <c r="Q75" i="1" s="1"/>
  <c r="R76" i="1"/>
  <c r="Q76" i="1" s="1"/>
  <c r="R77" i="1"/>
  <c r="Q77" i="1" s="1"/>
  <c r="R78" i="1"/>
  <c r="Q78" i="1" s="1"/>
  <c r="R79" i="1"/>
  <c r="Q79" i="1" s="1"/>
  <c r="R80" i="1"/>
  <c r="Q80" i="1" s="1"/>
  <c r="R81" i="1"/>
  <c r="Q81" i="1" s="1"/>
  <c r="R82" i="1"/>
  <c r="Q82" i="1" s="1"/>
  <c r="R83" i="1"/>
  <c r="Q83" i="1" s="1"/>
  <c r="R84" i="1"/>
  <c r="Q84" i="1" s="1"/>
  <c r="R85" i="1"/>
  <c r="Q85" i="1" s="1"/>
  <c r="R86" i="1"/>
  <c r="Q86" i="1" s="1"/>
  <c r="R87" i="1"/>
  <c r="Q87" i="1" s="1"/>
  <c r="R88" i="1"/>
  <c r="Q88" i="1" s="1"/>
  <c r="R89" i="1"/>
  <c r="Q89" i="1" s="1"/>
  <c r="R90" i="1"/>
  <c r="Q90" i="1" s="1"/>
  <c r="R91" i="1"/>
  <c r="Q91" i="1" s="1"/>
  <c r="R92" i="1"/>
  <c r="Q92" i="1" s="1"/>
  <c r="R93" i="1"/>
  <c r="Q93" i="1" s="1"/>
  <c r="R94" i="1"/>
  <c r="Q94" i="1" s="1"/>
  <c r="R95" i="1"/>
  <c r="Q95" i="1" s="1"/>
  <c r="R96" i="1"/>
  <c r="Q96" i="1" s="1"/>
  <c r="R97" i="1"/>
  <c r="Q97" i="1" s="1"/>
  <c r="R98" i="1"/>
  <c r="Q98" i="1" s="1"/>
  <c r="R99" i="1"/>
  <c r="Q99" i="1" s="1"/>
  <c r="R100" i="1"/>
  <c r="Q100" i="1" s="1"/>
  <c r="R101" i="1"/>
  <c r="Q101" i="1" s="1"/>
  <c r="F2" i="1"/>
  <c r="E2" i="1" s="1"/>
  <c r="H2" i="1" s="1"/>
  <c r="F3" i="1"/>
  <c r="E3" i="1" s="1"/>
  <c r="H3" i="1" s="1"/>
  <c r="F4" i="1"/>
  <c r="E4" i="1" s="1"/>
  <c r="H4" i="1" s="1"/>
  <c r="F5" i="1"/>
  <c r="E5" i="1" s="1"/>
  <c r="H5" i="1" s="1"/>
  <c r="F6" i="1"/>
  <c r="E6" i="1" s="1"/>
  <c r="H6" i="1" s="1"/>
  <c r="F7" i="1"/>
  <c r="E7" i="1" s="1"/>
  <c r="H7" i="1" s="1"/>
  <c r="F8" i="1"/>
  <c r="E8" i="1" s="1"/>
  <c r="H8" i="1" s="1"/>
  <c r="F9" i="1"/>
  <c r="E9" i="1" s="1"/>
  <c r="H9" i="1" s="1"/>
  <c r="F10" i="1"/>
  <c r="E10" i="1" s="1"/>
  <c r="H10" i="1" s="1"/>
  <c r="F11" i="1"/>
  <c r="E11" i="1" s="1"/>
  <c r="H11" i="1" s="1"/>
  <c r="F12" i="1"/>
  <c r="E12" i="1" s="1"/>
  <c r="H12" i="1" s="1"/>
  <c r="F13" i="1"/>
  <c r="E13" i="1" s="1"/>
  <c r="H13" i="1" s="1"/>
  <c r="F14" i="1"/>
  <c r="E14" i="1" s="1"/>
  <c r="H14" i="1" s="1"/>
  <c r="F15" i="1"/>
  <c r="E15" i="1" s="1"/>
  <c r="H15" i="1" s="1"/>
  <c r="F16" i="1"/>
  <c r="E16" i="1" s="1"/>
  <c r="H16" i="1" s="1"/>
  <c r="F17" i="1"/>
  <c r="E17" i="1" s="1"/>
  <c r="H17" i="1" s="1"/>
  <c r="F18" i="1"/>
  <c r="E18" i="1" s="1"/>
  <c r="H18" i="1" s="1"/>
  <c r="F19" i="1"/>
  <c r="E19" i="1" s="1"/>
  <c r="H19" i="1" s="1"/>
  <c r="F20" i="1"/>
  <c r="E20" i="1" s="1"/>
  <c r="H20" i="1" s="1"/>
  <c r="F21" i="1"/>
  <c r="E21" i="1" s="1"/>
  <c r="H21" i="1" s="1"/>
  <c r="F22" i="1"/>
  <c r="E22" i="1" s="1"/>
  <c r="H22" i="1" s="1"/>
  <c r="F23" i="1"/>
  <c r="E23" i="1" s="1"/>
  <c r="H23" i="1" s="1"/>
  <c r="F24" i="1"/>
  <c r="E24" i="1" s="1"/>
  <c r="H24" i="1" s="1"/>
  <c r="F25" i="1"/>
  <c r="E25" i="1" s="1"/>
  <c r="H25" i="1" s="1"/>
  <c r="F26" i="1"/>
  <c r="E26" i="1" s="1"/>
  <c r="H26" i="1" s="1"/>
  <c r="F27" i="1"/>
  <c r="E27" i="1" s="1"/>
  <c r="H27" i="1" s="1"/>
  <c r="F28" i="1"/>
  <c r="E28" i="1" s="1"/>
  <c r="H28" i="1" s="1"/>
  <c r="F29" i="1"/>
  <c r="E29" i="1" s="1"/>
  <c r="H29" i="1" s="1"/>
  <c r="F30" i="1"/>
  <c r="E30" i="1" s="1"/>
  <c r="H30" i="1" s="1"/>
  <c r="F31" i="1"/>
  <c r="E31" i="1" s="1"/>
  <c r="H31" i="1" s="1"/>
  <c r="F32" i="1"/>
  <c r="E32" i="1" s="1"/>
  <c r="H32" i="1" s="1"/>
  <c r="F33" i="1"/>
  <c r="E33" i="1" s="1"/>
  <c r="H33" i="1" s="1"/>
  <c r="F34" i="1"/>
  <c r="E34" i="1" s="1"/>
  <c r="H34" i="1" s="1"/>
  <c r="F35" i="1"/>
  <c r="E35" i="1" s="1"/>
  <c r="H35" i="1" s="1"/>
  <c r="F36" i="1"/>
  <c r="E36" i="1" s="1"/>
  <c r="H36" i="1" s="1"/>
  <c r="F37" i="1"/>
  <c r="E37" i="1" s="1"/>
  <c r="H37" i="1" s="1"/>
  <c r="F38" i="1"/>
  <c r="E38" i="1" s="1"/>
  <c r="H38" i="1" s="1"/>
  <c r="F39" i="1"/>
  <c r="E39" i="1" s="1"/>
  <c r="H39" i="1" s="1"/>
  <c r="F40" i="1"/>
  <c r="E40" i="1" s="1"/>
  <c r="H40" i="1" s="1"/>
  <c r="F41" i="1"/>
  <c r="E41" i="1" s="1"/>
  <c r="H41" i="1" s="1"/>
  <c r="F42" i="1"/>
  <c r="E42" i="1" s="1"/>
  <c r="H42" i="1" s="1"/>
  <c r="F43" i="1"/>
  <c r="E43" i="1" s="1"/>
  <c r="H43" i="1" s="1"/>
  <c r="F44" i="1"/>
  <c r="E44" i="1" s="1"/>
  <c r="H44" i="1" s="1"/>
  <c r="F45" i="1"/>
  <c r="E45" i="1" s="1"/>
  <c r="H45" i="1" s="1"/>
  <c r="F46" i="1"/>
  <c r="E46" i="1" s="1"/>
  <c r="H46" i="1" s="1"/>
  <c r="F47" i="1"/>
  <c r="E47" i="1" s="1"/>
  <c r="H47" i="1" s="1"/>
  <c r="F48" i="1"/>
  <c r="E48" i="1" s="1"/>
  <c r="H48" i="1" s="1"/>
  <c r="F49" i="1"/>
  <c r="E49" i="1" s="1"/>
  <c r="H49" i="1" s="1"/>
  <c r="F50" i="1"/>
  <c r="E50" i="1" s="1"/>
  <c r="H50" i="1" s="1"/>
  <c r="F51" i="1"/>
  <c r="E51" i="1" s="1"/>
  <c r="H51" i="1" s="1"/>
  <c r="F52" i="1"/>
  <c r="E52" i="1" s="1"/>
  <c r="H52" i="1" s="1"/>
  <c r="F53" i="1"/>
  <c r="E53" i="1" s="1"/>
  <c r="H53" i="1" s="1"/>
  <c r="F54" i="1"/>
  <c r="E54" i="1" s="1"/>
  <c r="H54" i="1" s="1"/>
  <c r="F55" i="1"/>
  <c r="E55" i="1" s="1"/>
  <c r="H55" i="1" s="1"/>
  <c r="F56" i="1"/>
  <c r="E56" i="1" s="1"/>
  <c r="H56" i="1" s="1"/>
  <c r="F57" i="1"/>
  <c r="E57" i="1" s="1"/>
  <c r="H57" i="1" s="1"/>
  <c r="F58" i="1"/>
  <c r="E58" i="1" s="1"/>
  <c r="H58" i="1" s="1"/>
  <c r="F59" i="1"/>
  <c r="E59" i="1" s="1"/>
  <c r="H59" i="1" s="1"/>
  <c r="F60" i="1"/>
  <c r="E60" i="1" s="1"/>
  <c r="H60" i="1" s="1"/>
  <c r="F61" i="1"/>
  <c r="E61" i="1" s="1"/>
  <c r="H61" i="1" s="1"/>
  <c r="F62" i="1"/>
  <c r="E62" i="1" s="1"/>
  <c r="H62" i="1" s="1"/>
  <c r="F63" i="1"/>
  <c r="E63" i="1" s="1"/>
  <c r="H63" i="1" s="1"/>
  <c r="F64" i="1"/>
  <c r="E64" i="1" s="1"/>
  <c r="H64" i="1" s="1"/>
  <c r="F65" i="1"/>
  <c r="E65" i="1" s="1"/>
  <c r="H65" i="1" s="1"/>
  <c r="F66" i="1"/>
  <c r="E66" i="1" s="1"/>
  <c r="H66" i="1" s="1"/>
  <c r="F67" i="1"/>
  <c r="E67" i="1" s="1"/>
  <c r="H67" i="1" s="1"/>
  <c r="F68" i="1"/>
  <c r="E68" i="1" s="1"/>
  <c r="H68" i="1" s="1"/>
  <c r="F69" i="1"/>
  <c r="E69" i="1" s="1"/>
  <c r="H69" i="1" s="1"/>
  <c r="F70" i="1"/>
  <c r="E70" i="1" s="1"/>
  <c r="H70" i="1" s="1"/>
  <c r="F71" i="1"/>
  <c r="E71" i="1" s="1"/>
  <c r="H71" i="1" s="1"/>
  <c r="F72" i="1"/>
  <c r="E72" i="1" s="1"/>
  <c r="H72" i="1" s="1"/>
  <c r="F73" i="1"/>
  <c r="E73" i="1" s="1"/>
  <c r="H73" i="1" s="1"/>
  <c r="F74" i="1"/>
  <c r="E74" i="1" s="1"/>
  <c r="H74" i="1" s="1"/>
  <c r="F75" i="1"/>
  <c r="E75" i="1" s="1"/>
  <c r="H75" i="1" s="1"/>
  <c r="F76" i="1"/>
  <c r="E76" i="1" s="1"/>
  <c r="H76" i="1" s="1"/>
  <c r="F77" i="1"/>
  <c r="E77" i="1" s="1"/>
  <c r="H77" i="1" s="1"/>
  <c r="F78" i="1"/>
  <c r="E78" i="1" s="1"/>
  <c r="H78" i="1" s="1"/>
  <c r="F79" i="1"/>
  <c r="E79" i="1" s="1"/>
  <c r="H79" i="1" s="1"/>
  <c r="F80" i="1"/>
  <c r="E80" i="1" s="1"/>
  <c r="H80" i="1" s="1"/>
  <c r="F81" i="1"/>
  <c r="E81" i="1" s="1"/>
  <c r="H81" i="1" s="1"/>
  <c r="F82" i="1"/>
  <c r="E82" i="1" s="1"/>
  <c r="H82" i="1" s="1"/>
  <c r="F83" i="1"/>
  <c r="E83" i="1" s="1"/>
  <c r="H83" i="1" s="1"/>
  <c r="F84" i="1"/>
  <c r="E84" i="1" s="1"/>
  <c r="H84" i="1" s="1"/>
  <c r="F85" i="1"/>
  <c r="E85" i="1" s="1"/>
  <c r="H85" i="1" s="1"/>
  <c r="F86" i="1"/>
  <c r="E86" i="1" s="1"/>
  <c r="H86" i="1" s="1"/>
  <c r="F87" i="1"/>
  <c r="E87" i="1" s="1"/>
  <c r="H87" i="1" s="1"/>
  <c r="F88" i="1"/>
  <c r="E88" i="1" s="1"/>
  <c r="H88" i="1" s="1"/>
  <c r="F89" i="1"/>
  <c r="E89" i="1" s="1"/>
  <c r="H89" i="1" s="1"/>
  <c r="F90" i="1"/>
  <c r="E90" i="1" s="1"/>
  <c r="H90" i="1" s="1"/>
  <c r="F91" i="1"/>
  <c r="E91" i="1" s="1"/>
  <c r="H91" i="1" s="1"/>
  <c r="F92" i="1"/>
  <c r="E92" i="1" s="1"/>
  <c r="H92" i="1" s="1"/>
  <c r="F93" i="1"/>
  <c r="E93" i="1" s="1"/>
  <c r="H93" i="1" s="1"/>
  <c r="F94" i="1"/>
  <c r="E94" i="1" s="1"/>
  <c r="H94" i="1" s="1"/>
  <c r="F95" i="1"/>
  <c r="E95" i="1" s="1"/>
  <c r="H95" i="1" s="1"/>
  <c r="F96" i="1"/>
  <c r="E96" i="1" s="1"/>
  <c r="H96" i="1" s="1"/>
  <c r="F97" i="1"/>
  <c r="E97" i="1" s="1"/>
  <c r="H97" i="1" s="1"/>
  <c r="F98" i="1"/>
  <c r="E98" i="1" s="1"/>
  <c r="H98" i="1" s="1"/>
  <c r="F99" i="1"/>
  <c r="E99" i="1" s="1"/>
  <c r="H99" i="1" s="1"/>
  <c r="F100" i="1"/>
  <c r="E100" i="1" s="1"/>
  <c r="H100" i="1" s="1"/>
  <c r="F101" i="1"/>
  <c r="E101" i="1" s="1"/>
  <c r="H101" i="1" s="1"/>
  <c r="D98" i="1" l="1"/>
  <c r="D94" i="1"/>
  <c r="D90" i="1"/>
  <c r="D86" i="1"/>
  <c r="D82" i="1"/>
  <c r="D78" i="1"/>
  <c r="D74" i="1"/>
  <c r="D70" i="1"/>
  <c r="D66" i="1"/>
  <c r="D62" i="1"/>
  <c r="D58" i="1"/>
  <c r="D54" i="1"/>
  <c r="D50" i="1"/>
  <c r="D46" i="1"/>
  <c r="D42" i="1"/>
  <c r="D38" i="1"/>
  <c r="D34" i="1"/>
  <c r="D30" i="1"/>
  <c r="D26" i="1"/>
  <c r="D22" i="1"/>
  <c r="D18" i="1"/>
  <c r="D14" i="1"/>
  <c r="D10" i="1"/>
  <c r="D6" i="1"/>
  <c r="D2" i="1"/>
  <c r="D101" i="1"/>
  <c r="D97" i="1"/>
  <c r="D93" i="1"/>
  <c r="D89" i="1"/>
  <c r="D85" i="1"/>
  <c r="D81" i="1"/>
  <c r="D77" i="1"/>
  <c r="D73" i="1"/>
  <c r="D69" i="1"/>
  <c r="D65" i="1"/>
  <c r="D61" i="1"/>
  <c r="D57" i="1"/>
  <c r="D53" i="1"/>
  <c r="D49" i="1"/>
  <c r="D45" i="1"/>
  <c r="D41" i="1"/>
  <c r="D37" i="1"/>
  <c r="D33" i="1"/>
  <c r="D29" i="1"/>
  <c r="D25" i="1"/>
  <c r="D21" i="1"/>
  <c r="D17" i="1"/>
  <c r="D13" i="1"/>
  <c r="D9" i="1"/>
  <c r="D5" i="1"/>
  <c r="D100" i="1"/>
  <c r="D96" i="1"/>
  <c r="D92" i="1"/>
  <c r="D88" i="1"/>
  <c r="D84" i="1"/>
  <c r="D80" i="1"/>
  <c r="D76" i="1"/>
  <c r="D72" i="1"/>
  <c r="D68" i="1"/>
  <c r="D64" i="1"/>
  <c r="D60" i="1"/>
  <c r="D56" i="1"/>
  <c r="D52" i="1"/>
  <c r="D48" i="1"/>
  <c r="D44" i="1"/>
  <c r="D40" i="1"/>
  <c r="D36" i="1"/>
  <c r="D32" i="1"/>
  <c r="D28" i="1"/>
  <c r="D24" i="1"/>
  <c r="D20" i="1"/>
  <c r="D16" i="1"/>
  <c r="D12" i="1"/>
  <c r="D8" i="1"/>
  <c r="D4" i="1"/>
  <c r="D99" i="1"/>
  <c r="D95" i="1"/>
  <c r="D91" i="1"/>
  <c r="D87" i="1"/>
  <c r="D83" i="1"/>
  <c r="D79" i="1"/>
  <c r="D75" i="1"/>
  <c r="D71" i="1"/>
  <c r="D67" i="1"/>
  <c r="D63" i="1"/>
  <c r="D59" i="1"/>
  <c r="D55" i="1"/>
  <c r="D51" i="1"/>
  <c r="D47" i="1"/>
  <c r="D43" i="1"/>
  <c r="D39" i="1"/>
  <c r="D35" i="1"/>
  <c r="D31" i="1"/>
  <c r="D27" i="1"/>
  <c r="D23" i="1"/>
  <c r="D19" i="1"/>
  <c r="D15" i="1"/>
  <c r="D11" i="1"/>
  <c r="D7" i="1"/>
  <c r="D3" i="1"/>
  <c r="C58" i="1"/>
  <c r="C50" i="1"/>
  <c r="C42" i="1"/>
  <c r="C98" i="1"/>
  <c r="C34" i="1"/>
  <c r="C90" i="1"/>
  <c r="C26" i="1"/>
  <c r="C82" i="1"/>
  <c r="C18" i="1"/>
  <c r="C74" i="1"/>
  <c r="C10" i="1"/>
  <c r="C66" i="1"/>
  <c r="C2" i="1"/>
  <c r="C97" i="1"/>
  <c r="C89" i="1"/>
  <c r="C81" i="1"/>
  <c r="C73" i="1"/>
  <c r="C65" i="1"/>
  <c r="C57" i="1"/>
  <c r="C49" i="1"/>
  <c r="C41" i="1"/>
  <c r="C33" i="1"/>
  <c r="C25" i="1"/>
  <c r="C17" i="1"/>
  <c r="C9" i="1"/>
  <c r="C96" i="1"/>
  <c r="C88" i="1"/>
  <c r="C80" i="1"/>
  <c r="C72" i="1"/>
  <c r="C64" i="1"/>
  <c r="C56" i="1"/>
  <c r="C48" i="1"/>
  <c r="C40" i="1"/>
  <c r="C32" i="1"/>
  <c r="C24" i="1"/>
  <c r="C16" i="1"/>
  <c r="C8" i="1"/>
  <c r="C95" i="1"/>
  <c r="C87" i="1"/>
  <c r="C79" i="1"/>
  <c r="C71" i="1"/>
  <c r="C63" i="1"/>
  <c r="C55" i="1"/>
  <c r="C47" i="1"/>
  <c r="C39" i="1"/>
  <c r="C31" i="1"/>
  <c r="C23" i="1"/>
  <c r="C15" i="1"/>
  <c r="C7" i="1"/>
  <c r="C94" i="1"/>
  <c r="C86" i="1"/>
  <c r="C78" i="1"/>
  <c r="C70" i="1"/>
  <c r="C62" i="1"/>
  <c r="C54" i="1"/>
  <c r="C46" i="1"/>
  <c r="C38" i="1"/>
  <c r="C30" i="1"/>
  <c r="C22" i="1"/>
  <c r="C14" i="1"/>
  <c r="C6" i="1"/>
  <c r="C101" i="1"/>
  <c r="C93" i="1"/>
  <c r="C85" i="1"/>
  <c r="C77" i="1"/>
  <c r="C69" i="1"/>
  <c r="C61" i="1"/>
  <c r="C53" i="1"/>
  <c r="C45" i="1"/>
  <c r="C37" i="1"/>
  <c r="C29" i="1"/>
  <c r="C21" i="1"/>
  <c r="C13" i="1"/>
  <c r="C5" i="1"/>
  <c r="C100" i="1"/>
  <c r="C92" i="1"/>
  <c r="C84" i="1"/>
  <c r="C76" i="1"/>
  <c r="C68" i="1"/>
  <c r="C60" i="1"/>
  <c r="C52" i="1"/>
  <c r="C44" i="1"/>
  <c r="C36" i="1"/>
  <c r="C28" i="1"/>
  <c r="C20" i="1"/>
  <c r="C12" i="1"/>
  <c r="C4" i="1"/>
  <c r="C99" i="1"/>
  <c r="C91" i="1"/>
  <c r="C83" i="1"/>
  <c r="C75" i="1"/>
  <c r="C67" i="1"/>
  <c r="C59" i="1"/>
  <c r="C51" i="1"/>
  <c r="C43" i="1"/>
  <c r="C35" i="1"/>
  <c r="C27" i="1"/>
  <c r="C19" i="1"/>
  <c r="C11" i="1"/>
  <c r="C3" i="1"/>
</calcChain>
</file>

<file path=xl/sharedStrings.xml><?xml version="1.0" encoding="utf-8"?>
<sst xmlns="http://schemas.openxmlformats.org/spreadsheetml/2006/main" count="868" uniqueCount="294">
  <si>
    <t>Emp ID</t>
  </si>
  <si>
    <t>Employee Name</t>
  </si>
  <si>
    <t>Designation</t>
  </si>
  <si>
    <t>Gender</t>
  </si>
  <si>
    <t>City</t>
  </si>
  <si>
    <t>Joining Date</t>
  </si>
  <si>
    <t>Experience (Years)</t>
  </si>
  <si>
    <t>Salary</t>
  </si>
  <si>
    <t>Status</t>
  </si>
  <si>
    <t>EMP001</t>
  </si>
  <si>
    <t>Rahul</t>
  </si>
  <si>
    <t>HR</t>
  </si>
  <si>
    <t>Executive</t>
  </si>
  <si>
    <t>Male</t>
  </si>
  <si>
    <t>Kochi</t>
  </si>
  <si>
    <t>01-01-2019</t>
  </si>
  <si>
    <t>Active</t>
  </si>
  <si>
    <t>EMP002</t>
  </si>
  <si>
    <t>Priya</t>
  </si>
  <si>
    <t>IT</t>
  </si>
  <si>
    <t>Developer</t>
  </si>
  <si>
    <t>Female</t>
  </si>
  <si>
    <t>Trivandrum</t>
  </si>
  <si>
    <t>18-01-2019</t>
  </si>
  <si>
    <t>On Leave</t>
  </si>
  <si>
    <t>EMP003</t>
  </si>
  <si>
    <t>Arjun</t>
  </si>
  <si>
    <t>Finance</t>
  </si>
  <si>
    <t>Associate</t>
  </si>
  <si>
    <t>04-02-2019</t>
  </si>
  <si>
    <t>Resigned</t>
  </si>
  <si>
    <t>EMP004</t>
  </si>
  <si>
    <t>Anjali</t>
  </si>
  <si>
    <t>Sales</t>
  </si>
  <si>
    <t>21-02-2019</t>
  </si>
  <si>
    <t>EMP005</t>
  </si>
  <si>
    <t>Akhil</t>
  </si>
  <si>
    <t>Marketing</t>
  </si>
  <si>
    <t>10-03-2019</t>
  </si>
  <si>
    <t>EMP006</t>
  </si>
  <si>
    <t>Meera</t>
  </si>
  <si>
    <t>Operations</t>
  </si>
  <si>
    <t>27-03-2019</t>
  </si>
  <si>
    <t>EMP007</t>
  </si>
  <si>
    <t>Vishnu</t>
  </si>
  <si>
    <t>13-04-2019</t>
  </si>
  <si>
    <t>EMP008</t>
  </si>
  <si>
    <t>Neha</t>
  </si>
  <si>
    <t>30-04-2019</t>
  </si>
  <si>
    <t>EMP009</t>
  </si>
  <si>
    <t>Kiran</t>
  </si>
  <si>
    <t>17-05-2019</t>
  </si>
  <si>
    <t>EMP010</t>
  </si>
  <si>
    <t>Sneha</t>
  </si>
  <si>
    <t>03-06-2019</t>
  </si>
  <si>
    <t>EMP011</t>
  </si>
  <si>
    <t>Rohit</t>
  </si>
  <si>
    <t>20-06-2019</t>
  </si>
  <si>
    <t>EMP012</t>
  </si>
  <si>
    <t>Diya</t>
  </si>
  <si>
    <t>07-07-2019</t>
  </si>
  <si>
    <t>EMP013</t>
  </si>
  <si>
    <t>Anoop</t>
  </si>
  <si>
    <t>24-07-2019</t>
  </si>
  <si>
    <t>EMP014</t>
  </si>
  <si>
    <t>Nithya</t>
  </si>
  <si>
    <t>10-08-2019</t>
  </si>
  <si>
    <t>EMP015</t>
  </si>
  <si>
    <t>Aditya</t>
  </si>
  <si>
    <t>27-08-2019</t>
  </si>
  <si>
    <t>EMP016</t>
  </si>
  <si>
    <t>Asha</t>
  </si>
  <si>
    <t>13-09-2019</t>
  </si>
  <si>
    <t>EMP017</t>
  </si>
  <si>
    <t>Varun</t>
  </si>
  <si>
    <t>30-09-2019</t>
  </si>
  <si>
    <t>EMP018</t>
  </si>
  <si>
    <t>Keerthana</t>
  </si>
  <si>
    <t>17-10-2019</t>
  </si>
  <si>
    <t>EMP019</t>
  </si>
  <si>
    <t>Joel</t>
  </si>
  <si>
    <t>03-11-2019</t>
  </si>
  <si>
    <t>EMP020</t>
  </si>
  <si>
    <t>Athira</t>
  </si>
  <si>
    <t>20-11-2019</t>
  </si>
  <si>
    <t>EMP021</t>
  </si>
  <si>
    <t>07-12-2019</t>
  </si>
  <si>
    <t>EMP022</t>
  </si>
  <si>
    <t>24-12-2019</t>
  </si>
  <si>
    <t>EMP023</t>
  </si>
  <si>
    <t>10-01-2020</t>
  </si>
  <si>
    <t>EMP024</t>
  </si>
  <si>
    <t>27-01-2020</t>
  </si>
  <si>
    <t>EMP025</t>
  </si>
  <si>
    <t>13-02-2020</t>
  </si>
  <si>
    <t>EMP026</t>
  </si>
  <si>
    <t>01-03-2020</t>
  </si>
  <si>
    <t>EMP027</t>
  </si>
  <si>
    <t>18-03-2020</t>
  </si>
  <si>
    <t>EMP028</t>
  </si>
  <si>
    <t>04-04-2020</t>
  </si>
  <si>
    <t>EMP029</t>
  </si>
  <si>
    <t>21-04-2020</t>
  </si>
  <si>
    <t>EMP030</t>
  </si>
  <si>
    <t>08-05-2020</t>
  </si>
  <si>
    <t>EMP031</t>
  </si>
  <si>
    <t>25-05-2020</t>
  </si>
  <si>
    <t>EMP032</t>
  </si>
  <si>
    <t>11-06-2020</t>
  </si>
  <si>
    <t>EMP033</t>
  </si>
  <si>
    <t>28-06-2020</t>
  </si>
  <si>
    <t>EMP034</t>
  </si>
  <si>
    <t>15-07-2020</t>
  </si>
  <si>
    <t>EMP035</t>
  </si>
  <si>
    <t>01-08-2020</t>
  </si>
  <si>
    <t>EMP036</t>
  </si>
  <si>
    <t>18-08-2020</t>
  </si>
  <si>
    <t>EMP037</t>
  </si>
  <si>
    <t>04-09-2020</t>
  </si>
  <si>
    <t>EMP038</t>
  </si>
  <si>
    <t>21-09-2020</t>
  </si>
  <si>
    <t>EMP039</t>
  </si>
  <si>
    <t>08-10-2020</t>
  </si>
  <si>
    <t>EMP040</t>
  </si>
  <si>
    <t>25-10-2020</t>
  </si>
  <si>
    <t>EMP041</t>
  </si>
  <si>
    <t>11-11-2020</t>
  </si>
  <si>
    <t>EMP042</t>
  </si>
  <si>
    <t>28-11-2020</t>
  </si>
  <si>
    <t>EMP043</t>
  </si>
  <si>
    <t>15-12-2020</t>
  </si>
  <si>
    <t>EMP044</t>
  </si>
  <si>
    <t>01-01-2021</t>
  </si>
  <si>
    <t>EMP045</t>
  </si>
  <si>
    <t>18-01-2021</t>
  </si>
  <si>
    <t>EMP046</t>
  </si>
  <si>
    <t>04-02-2021</t>
  </si>
  <si>
    <t>EMP047</t>
  </si>
  <si>
    <t>21-02-2021</t>
  </si>
  <si>
    <t>EMP048</t>
  </si>
  <si>
    <t>10-03-2021</t>
  </si>
  <si>
    <t>EMP049</t>
  </si>
  <si>
    <t>27-03-2021</t>
  </si>
  <si>
    <t>EMP050</t>
  </si>
  <si>
    <t>13-04-2021</t>
  </si>
  <si>
    <t>EMP051</t>
  </si>
  <si>
    <t>30-04-2021</t>
  </si>
  <si>
    <t>EMP052</t>
  </si>
  <si>
    <t>17-05-2021</t>
  </si>
  <si>
    <t>EMP053</t>
  </si>
  <si>
    <t>03-06-2021</t>
  </si>
  <si>
    <t>EMP054</t>
  </si>
  <si>
    <t>20-06-2021</t>
  </si>
  <si>
    <t>EMP055</t>
  </si>
  <si>
    <t>07-07-2021</t>
  </si>
  <si>
    <t>EMP056</t>
  </si>
  <si>
    <t>24-07-2021</t>
  </si>
  <si>
    <t>EMP057</t>
  </si>
  <si>
    <t>10-08-2021</t>
  </si>
  <si>
    <t>EMP058</t>
  </si>
  <si>
    <t>27-08-2021</t>
  </si>
  <si>
    <t>EMP059</t>
  </si>
  <si>
    <t>13-09-2021</t>
  </si>
  <si>
    <t>EMP060</t>
  </si>
  <si>
    <t>30-09-2021</t>
  </si>
  <si>
    <t>EMP061</t>
  </si>
  <si>
    <t>17-10-2021</t>
  </si>
  <si>
    <t>EMP062</t>
  </si>
  <si>
    <t>03-11-2021</t>
  </si>
  <si>
    <t>EMP063</t>
  </si>
  <si>
    <t>20-11-2021</t>
  </si>
  <si>
    <t>EMP064</t>
  </si>
  <si>
    <t>07-12-2021</t>
  </si>
  <si>
    <t>EMP065</t>
  </si>
  <si>
    <t>24-12-2021</t>
  </si>
  <si>
    <t>EMP066</t>
  </si>
  <si>
    <t>10-01-2022</t>
  </si>
  <si>
    <t>EMP067</t>
  </si>
  <si>
    <t>27-01-2022</t>
  </si>
  <si>
    <t>EMP068</t>
  </si>
  <si>
    <t>13-02-2022</t>
  </si>
  <si>
    <t>EMP069</t>
  </si>
  <si>
    <t>02-03-2022</t>
  </si>
  <si>
    <t>EMP070</t>
  </si>
  <si>
    <t>19-03-2022</t>
  </si>
  <si>
    <t>EMP071</t>
  </si>
  <si>
    <t>05-04-2022</t>
  </si>
  <si>
    <t>EMP072</t>
  </si>
  <si>
    <t>22-04-2022</t>
  </si>
  <si>
    <t>EMP073</t>
  </si>
  <si>
    <t>09-05-2022</t>
  </si>
  <si>
    <t>EMP074</t>
  </si>
  <si>
    <t>26-05-2022</t>
  </si>
  <si>
    <t>EMP075</t>
  </si>
  <si>
    <t>12-06-2022</t>
  </si>
  <si>
    <t>EMP076</t>
  </si>
  <si>
    <t>29-06-2022</t>
  </si>
  <si>
    <t>EMP077</t>
  </si>
  <si>
    <t>16-07-2022</t>
  </si>
  <si>
    <t>EMP078</t>
  </si>
  <si>
    <t>02-08-2022</t>
  </si>
  <si>
    <t>EMP079</t>
  </si>
  <si>
    <t>19-08-2022</t>
  </si>
  <si>
    <t>EMP080</t>
  </si>
  <si>
    <t>05-09-2022</t>
  </si>
  <si>
    <t>EMP081</t>
  </si>
  <si>
    <t>22-09-2022</t>
  </si>
  <si>
    <t>EMP082</t>
  </si>
  <si>
    <t>09-10-2022</t>
  </si>
  <si>
    <t>EMP083</t>
  </si>
  <si>
    <t>26-10-2022</t>
  </si>
  <si>
    <t>EMP084</t>
  </si>
  <si>
    <t>12-11-2022</t>
  </si>
  <si>
    <t>EMP085</t>
  </si>
  <si>
    <t>29-11-2022</t>
  </si>
  <si>
    <t>EMP086</t>
  </si>
  <si>
    <t>16-12-2022</t>
  </si>
  <si>
    <t>EMP087</t>
  </si>
  <si>
    <t>02-01-2023</t>
  </si>
  <si>
    <t>EMP088</t>
  </si>
  <si>
    <t>19-01-2023</t>
  </si>
  <si>
    <t>EMP089</t>
  </si>
  <si>
    <t>05-02-2023</t>
  </si>
  <si>
    <t>EMP090</t>
  </si>
  <si>
    <t>22-02-2023</t>
  </si>
  <si>
    <t>EMP091</t>
  </si>
  <si>
    <t>11-03-2023</t>
  </si>
  <si>
    <t>EMP092</t>
  </si>
  <si>
    <t>28-03-2023</t>
  </si>
  <si>
    <t>EMP093</t>
  </si>
  <si>
    <t>14-04-2023</t>
  </si>
  <si>
    <t>EMP094</t>
  </si>
  <si>
    <t>01-05-2023</t>
  </si>
  <si>
    <t>EMP095</t>
  </si>
  <si>
    <t>18-05-2023</t>
  </si>
  <si>
    <t>EMP096</t>
  </si>
  <si>
    <t>04-06-2023</t>
  </si>
  <si>
    <t>EMP097</t>
  </si>
  <si>
    <t>21-06-2023</t>
  </si>
  <si>
    <t>EMP098</t>
  </si>
  <si>
    <t>08-07-2023</t>
  </si>
  <si>
    <t>EMP099</t>
  </si>
  <si>
    <t>25-07-2023</t>
  </si>
  <si>
    <t>EMP100</t>
  </si>
  <si>
    <t>11-08-2023</t>
  </si>
  <si>
    <t>Questions</t>
  </si>
  <si>
    <t>Display the employee name in uppercase.</t>
  </si>
  <si>
    <t>Count the number of working days between the Joining Date and today.</t>
  </si>
  <si>
    <t>Convert the department name into proper case.</t>
  </si>
  <si>
    <t>Find the last working day of the joining month.</t>
  </si>
  <si>
    <t>Display only the first 3 letters of each employee's city.</t>
  </si>
  <si>
    <t>Display only the day from the Joining Date.</t>
  </si>
  <si>
    <t>Display the last 4 characters of the Employee ID.</t>
  </si>
  <si>
    <t>Display the month number from the Joining Date.</t>
  </si>
  <si>
    <t>Extract the first 5 characters of the Designation.</t>
  </si>
  <si>
    <t>Display the joining year from the Joining Date.</t>
  </si>
  <si>
    <t>Join Employee Name and Department with a hyphen (-).</t>
  </si>
  <si>
    <t>Reverse the employee status (Active → Inactive, Inactive → Active).</t>
  </si>
  <si>
    <t>Find the position of the first letter "a" in the Employee Name.</t>
  </si>
  <si>
    <t>Find the position of the word "Manager" in the Designation (if available).</t>
  </si>
  <si>
    <t>Classify employees as Junior, Mid-Level, or Senior based on experience (0–2, 3–5, Above 5).</t>
  </si>
  <si>
    <t>Calculate the total number of characters in each employee's name.</t>
  </si>
  <si>
    <t>Count how many employees belong to the Sales department.</t>
  </si>
  <si>
    <t>Calculate the total salary paid to employees in the HR department.</t>
  </si>
  <si>
    <t>Return "Experienced" if an employee has more than 5 years of experience; otherwise "Fresher".</t>
  </si>
  <si>
    <t>Find the average salary of employees in the IT department.</t>
  </si>
  <si>
    <t>Answers</t>
  </si>
  <si>
    <t>Display the joining date in the format DD-MMM-YYYY.</t>
  </si>
  <si>
    <t>Check whether an employee belongs to the HR department or Finance department.</t>
  </si>
  <si>
    <t>Check whether an employee is Active and has more than 5 years of experience.</t>
  </si>
  <si>
    <t>DepaRtmenT</t>
  </si>
  <si>
    <t>Remove extra spaces from an employee name .</t>
  </si>
  <si>
    <t xml:space="preserve">    Meera</t>
  </si>
  <si>
    <t xml:space="preserve">  Neha</t>
  </si>
  <si>
    <t xml:space="preserve">  Arjun</t>
  </si>
  <si>
    <t>1.upper case</t>
  </si>
  <si>
    <t>done</t>
  </si>
  <si>
    <t>2.DD-MMM-YYY</t>
  </si>
  <si>
    <t>DONE</t>
  </si>
  <si>
    <t>2.COUNT</t>
  </si>
  <si>
    <t>4.PROPER</t>
  </si>
  <si>
    <t>7.TRIM</t>
  </si>
  <si>
    <t>8.3 LETTERS</t>
  </si>
  <si>
    <t>10.RIGHT</t>
  </si>
  <si>
    <t>11.MONT</t>
  </si>
  <si>
    <t>12.5LETTERS</t>
  </si>
  <si>
    <t>13.J YEAR</t>
  </si>
  <si>
    <t>14.CONCAT</t>
  </si>
  <si>
    <t>15.FIND</t>
  </si>
  <si>
    <t>17.NETEED IF</t>
  </si>
  <si>
    <t>18</t>
  </si>
  <si>
    <t>19</t>
  </si>
  <si>
    <t>21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</si>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</sst>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/>
    <xf numFmtId="0" fontId="3" fillId="0" borderId="0" xfId="0" applyFont="1"/>
    <xf numFmtId="0" fontId="0" fillId="0" borderId="0" xfId="0"/>
    <xf numFmtId="0" fontId="3" fillId="3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28E6B-1F50-4ED7-B43E-B0E572645363}" name="Table1" displayName="Table1" ref="B1:AA101" totalsRowShown="0" headerRowDxfId="27" dataDxfId="26">
  <autoFilter ref="B1:AA101" xr:uid="{68028E6B-1F50-4ED7-B43E-B0E572645363}"/>
  <tableColumns count="26">
    <tableColumn id="1" xr3:uid="{4B63BB66-8338-49BB-8AAE-7D67FFAB2003}" name="Emp ID" dataDxfId="25"/>
    <tableColumn id="25" xr3:uid="{27ACA0E2-FC75-4828-8C0A-22A46C2708EF}" name="15.FIND" dataDxfId="24">
      <calculatedColumnFormula>FIND("A",Table1[[#This Row],[1.upper case]])</calculatedColumnFormula>
    </tableColumn>
    <tableColumn id="15" xr3:uid="{746D04F0-4858-4E78-AEA4-CBBABAF4FDEA}" name="21" dataDxfId="23">
      <calculatedColumnFormula>LEN(Table1[[#This Row],[7.TRIM]])</calculatedColumnFormula>
    </tableColumn>
    <tableColumn id="16" xr3:uid="{A8E06B33-B2FA-43DD-B461-F9ED7D1BA1EA}" name="7.TRIM" dataDxfId="22">
      <calculatedColumnFormula>TRIM(Table1[[#This Row],[1.upper case]])</calculatedColumnFormula>
    </tableColumn>
    <tableColumn id="11" xr3:uid="{7CDFB890-6881-46B0-831F-2A8655317DCA}" name="1.upper case" dataDxfId="21">
      <calculatedColumnFormula>UPPER(Table1[[#This Row],[Employee Name]])</calculatedColumnFormula>
    </tableColumn>
    <tableColumn id="2" xr3:uid="{991D6A37-D948-4364-A489-36AE3F6B271E}" name="Employee Name" dataDxfId="20"/>
    <tableColumn id="24" xr3:uid="{B36BB0AA-6680-4E08-ACAC-28F7C2AE965F}" name="14.CONCAT" dataDxfId="19">
      <calculatedColumnFormula>_xlfn.CONCAT(Table1[[#This Row],[7.TRIM]],"-",Table1[[#This Row],[DepaRtmenT]])</calculatedColumnFormula>
    </tableColumn>
    <tableColumn id="14" xr3:uid="{A6D2F9DF-3441-45F5-8309-AF56FA3D6A5D}" name="4.PROPER" dataDxfId="18">
      <calculatedColumnFormula>PROPER(Table1[[#This Row],[DepaRtmenT]])</calculatedColumnFormula>
    </tableColumn>
    <tableColumn id="29" xr3:uid="{FC4FF61D-9E2F-4980-A3D7-D0D542C774D2}" name="18" dataDxfId="17">
      <calculatedColumnFormula>IF(OR(Table1[[#This Row],[DepaRtmenT]]="HR",Table1[[#This Row],[DepaRtmenT]]="FINANCE"),"YES","NO")</calculatedColumnFormula>
    </tableColumn>
    <tableColumn id="3" xr3:uid="{A46CE68C-AD77-4C46-811E-5AAC3A86B3A3}" name="DepaRtmenT" dataDxfId="16"/>
    <tableColumn id="21" xr3:uid="{8010B3EE-6EB2-425D-948C-544CF8AEA673}" name="12.5LETTERS" dataDxfId="15">
      <calculatedColumnFormula>LEFT(Table1[[#This Row],[Designation]],5)</calculatedColumnFormula>
    </tableColumn>
    <tableColumn id="4" xr3:uid="{A485A033-2446-499D-A40F-FCFD8347F81E}" name="Designation" dataDxfId="14"/>
    <tableColumn id="5" xr3:uid="{DDB01044-6FCE-4967-9785-759E1684400A}" name="Gender" dataDxfId="13"/>
    <tableColumn id="6" xr3:uid="{416C2551-7A69-4894-8B5D-BC3CD7836938}" name="City" dataDxfId="12"/>
    <tableColumn id="18" xr3:uid="{BE32C74A-4329-4A68-B9F3-39D6ABC08B4B}" name="8.3 LETTERS" dataDxfId="11">
      <calculatedColumnFormula>LEFT(Table1[[#This Row],[City]],3)</calculatedColumnFormula>
    </tableColumn>
    <tableColumn id="20" xr3:uid="{EF5B9FE4-04FD-449F-82F7-22E38D9EE216}" name="11.MONT" dataDxfId="10">
      <calculatedColumnFormula>MONTH(Table1[[#This Row],[2.DD-MMM-YYY]])</calculatedColumnFormula>
    </tableColumn>
    <tableColumn id="12" xr3:uid="{B72EDB55-05DC-4C19-B650-AD2B9A271F40}" name="2.DD-MMM-YYY" dataDxfId="9">
      <calculatedColumnFormula>TEXT(Table1[[#This Row],[Joining Date]],"DD-MMM-YYYY")</calculatedColumnFormula>
    </tableColumn>
    <tableColumn id="13" xr3:uid="{C000F069-23E9-4F6E-8E78-96626AD5EB4E}" name="2.COUNT" dataDxfId="8">
      <calculatedColumnFormula>NETWORKDAYS(Table1[[#This Row],[Joining Date]],TODAY())</calculatedColumnFormula>
    </tableColumn>
    <tableColumn id="22" xr3:uid="{A1C3D8BE-68B5-4BA3-96F1-08131148B9DD}" name="13.J YEAR" dataDxfId="7">
      <calculatedColumnFormula>YEAR(Table1[[#This Row],[Joining Date]])</calculatedColumnFormula>
    </tableColumn>
    <tableColumn id="7" xr3:uid="{F261A203-EB3B-42E7-8D39-CB1F5F9D103C}" name="Joining Date" dataDxfId="6"/>
    <tableColumn id="17" xr3:uid="{C67A3AFB-A0DA-4E30-8E42-0A1AFC3B0AA2}" name="25" dataDxfId="5">
      <calculatedColumnFormula>IF(Table1[[#This Row],[Experience (Years)]]&gt;5,"experience","fresher")</calculatedColumnFormula>
    </tableColumn>
    <tableColumn id="8" xr3:uid="{872E9ECD-3543-4756-A4F5-CE7A6604C5F1}" name="Experience (Years)" dataDxfId="4"/>
    <tableColumn id="28" xr3:uid="{59DE9F54-C734-481B-9B3B-C30DEDCBC738}" name="17.NETEED IF" dataDxfId="3">
      <calculatedColumnFormula>IF(Table1[[#This Row],[Experience (Years)]]&lt;=2,"JUNIOR",IF(Table1[[#This Row],[Experience (Years)]]&lt;=5,"MID LEVEL","SENIOR"))</calculatedColumnFormula>
    </tableColumn>
    <tableColumn id="9" xr3:uid="{F9192222-1B21-4FB0-9E6E-3D0ABE3153B7}" name="Salary" dataDxfId="2"/>
    <tableColumn id="26" xr3:uid="{0CC0A8B7-6D40-4E74-8C28-9765FA4FC738}" name="19" dataDxfId="1">
      <calculatedColumnFormula>IF(AND(Table1[[#This Row],[Experience (Years)]]&gt;5,Table1[[#This Row],[Status]]="ACTIVE"),"YES","NO")</calculatedColumnFormula>
    </tableColumn>
    <tableColumn id="10" xr3:uid="{9C3483B4-ADE2-4FCC-9C2D-ADD9E5AC0DDC}" name="Status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topLeftCell="O1" zoomScale="75" workbookViewId="0">
      <selection activeCell="T1" sqref="T1:T1048576"/>
    </sheetView>
  </sheetViews>
  <sheetFormatPr defaultRowHeight="14.4" x14ac:dyDescent="0.3"/>
  <cols>
    <col min="1" max="1" width="9.44140625" bestFit="1" customWidth="1"/>
    <col min="2" max="5" width="12.44140625" customWidth="1"/>
    <col min="6" max="6" width="16.77734375" bestFit="1" customWidth="1"/>
    <col min="7" max="9" width="20.44140625" customWidth="1"/>
    <col min="10" max="10" width="49.21875" customWidth="1"/>
    <col min="11" max="12" width="19.21875" customWidth="1"/>
    <col min="13" max="13" width="17" customWidth="1"/>
    <col min="14" max="14" width="9.21875" bestFit="1" customWidth="1"/>
    <col min="15" max="17" width="16.5546875" customWidth="1"/>
    <col min="18" max="18" width="22.77734375" bestFit="1" customWidth="1"/>
    <col min="19" max="20" width="45.77734375" customWidth="1"/>
    <col min="21" max="22" width="18.21875" customWidth="1"/>
    <col min="23" max="23" width="18.109375" customWidth="1"/>
    <col min="24" max="24" width="18.77734375" customWidth="1"/>
    <col min="25" max="25" width="10.21875" customWidth="1"/>
    <col min="26" max="26" width="60.77734375" customWidth="1"/>
    <col min="27" max="27" width="34.5546875" customWidth="1"/>
    <col min="30" max="30" width="10.77734375" customWidth="1"/>
    <col min="31" max="31" width="8" customWidth="1"/>
    <col min="35" max="35" width="11.21875" customWidth="1"/>
    <col min="38" max="38" width="14.21875" customWidth="1"/>
    <col min="39" max="39" width="13.21875" customWidth="1"/>
    <col min="41" max="41" width="11.5546875" customWidth="1"/>
  </cols>
  <sheetData>
    <row r="1" spans="1:46" ht="18" x14ac:dyDescent="0.35">
      <c r="A1" t="s">
        <v>283</v>
      </c>
      <c r="B1" s="3" t="s">
        <v>0</v>
      </c>
      <c r="C1" s="3" t="s">
        <v>288</v>
      </c>
      <c r="D1" s="3" t="s">
        <v>292</v>
      </c>
      <c r="E1" s="3" t="s">
        <v>281</v>
      </c>
      <c r="F1" s="3" t="s">
        <v>275</v>
      </c>
      <c r="G1" s="3" t="s">
        <v>1</v>
      </c>
      <c r="H1" s="3" t="s">
        <v>287</v>
      </c>
      <c r="I1" s="3" t="s">
        <v>280</v>
      </c>
      <c r="J1" s="3" t="s">
        <v>290</v>
      </c>
      <c r="K1" s="3" t="s">
        <v>270</v>
      </c>
      <c r="L1" s="3" t="s">
        <v>285</v>
      </c>
      <c r="M1" s="3" t="s">
        <v>2</v>
      </c>
      <c r="N1" s="3" t="s">
        <v>3</v>
      </c>
      <c r="O1" s="3" t="s">
        <v>4</v>
      </c>
      <c r="P1" s="3" t="s">
        <v>282</v>
      </c>
      <c r="Q1" s="3" t="s">
        <v>284</v>
      </c>
      <c r="R1" s="3" t="s">
        <v>277</v>
      </c>
      <c r="S1" s="3" t="s">
        <v>279</v>
      </c>
      <c r="T1" s="3" t="s">
        <v>286</v>
      </c>
      <c r="U1" s="3" t="s">
        <v>5</v>
      </c>
      <c r="V1" s="3" t="s">
        <v>293</v>
      </c>
      <c r="W1" s="3" t="s">
        <v>6</v>
      </c>
      <c r="X1" s="3" t="s">
        <v>289</v>
      </c>
      <c r="Y1" s="3" t="s">
        <v>7</v>
      </c>
      <c r="Z1" s="3" t="s">
        <v>291</v>
      </c>
      <c r="AA1" s="3" t="s">
        <v>8</v>
      </c>
      <c r="AE1" s="1"/>
    </row>
    <row r="2" spans="1:46" ht="19.95" customHeight="1" x14ac:dyDescent="0.45">
      <c r="A2" t="str">
        <f>RIGHT(Table1[[#This Row],[Emp ID]],4)</f>
        <v>P001</v>
      </c>
      <c r="B2" s="3" t="s">
        <v>9</v>
      </c>
      <c r="C2" s="3">
        <f>FIND("A",Table1[[#This Row],[1.upper case]])</f>
        <v>2</v>
      </c>
      <c r="D2" s="3">
        <f>LEN(Table1[[#This Row],[7.TRIM]])</f>
        <v>5</v>
      </c>
      <c r="E2" s="3" t="str">
        <f>TRIM(Table1[[#This Row],[1.upper case]])</f>
        <v>RAHUL</v>
      </c>
      <c r="F2" s="3" t="str">
        <f>UPPER(Table1[[#This Row],[Employee Name]])</f>
        <v>RAHUL</v>
      </c>
      <c r="G2" s="3" t="s">
        <v>10</v>
      </c>
      <c r="H2" s="3" t="str">
        <f>_xlfn.CONCAT(Table1[[#This Row],[7.TRIM]],"-",Table1[[#This Row],[DepaRtmenT]])</f>
        <v>RAHUL-HR</v>
      </c>
      <c r="I2" s="3" t="str">
        <f>PROPER(Table1[[#This Row],[DepaRtmenT]])</f>
        <v>Hr</v>
      </c>
      <c r="J2" s="3" t="str">
        <f>IF(OR(Table1[[#This Row],[DepaRtmenT]]="HR",Table1[[#This Row],[DepaRtmenT]]="FINANCE"),"YES","NO")</f>
        <v>YES</v>
      </c>
      <c r="K2" s="3" t="s">
        <v>11</v>
      </c>
      <c r="L2" s="3" t="str">
        <f>LEFT(Table1[[#This Row],[Designation]],5)</f>
        <v>Execu</v>
      </c>
      <c r="M2" s="3" t="s">
        <v>12</v>
      </c>
      <c r="N2" s="3" t="s">
        <v>13</v>
      </c>
      <c r="O2" s="3" t="s">
        <v>14</v>
      </c>
      <c r="P2" s="3" t="str">
        <f>LEFT(Table1[[#This Row],[City]],3)</f>
        <v>Koc</v>
      </c>
      <c r="Q2" s="3">
        <f>MONTH(Table1[[#This Row],[2.DD-MMM-YYY]])</f>
        <v>1</v>
      </c>
      <c r="R2" s="3" t="str">
        <f>TEXT(Table1[[#This Row],[Joining Date]],"DD-MMM-YYYY")</f>
        <v>01-Jan-2019</v>
      </c>
      <c r="S2" s="3">
        <f ca="1">NETWORKDAYS(Table1[[#This Row],[Joining Date]],TODAY())</f>
        <v>2028</v>
      </c>
      <c r="T2" s="3">
        <f>YEAR(Table1[[#This Row],[Joining Date]])</f>
        <v>2019</v>
      </c>
      <c r="U2" s="3" t="s">
        <v>15</v>
      </c>
      <c r="V2" s="3" t="str">
        <f>IF(Table1[[#This Row],[Experience (Years)]]&gt;5,"experience","fresher")</f>
        <v>fresher</v>
      </c>
      <c r="W2" s="3">
        <v>1</v>
      </c>
      <c r="X2" s="3" t="str">
        <f>IF(Table1[[#This Row],[Experience (Years)]]&lt;=2,"JUNIOR",IF(Table1[[#This Row],[Experience (Years)]]&lt;=5,"MID LEVEL","SENIOR"))</f>
        <v>JUNIOR</v>
      </c>
      <c r="Y2" s="3">
        <v>25000</v>
      </c>
      <c r="Z2" s="3" t="str">
        <f>IF(AND(Table1[[#This Row],[Experience (Years)]]&gt;5,Table1[[#This Row],[Status]]="ACTIVE"),"YES","NO")</f>
        <v>NO</v>
      </c>
      <c r="AA2" s="3" t="s">
        <v>16</v>
      </c>
      <c r="AE2" s="11" t="s">
        <v>245</v>
      </c>
      <c r="AF2" s="11"/>
      <c r="AP2" s="10" t="s">
        <v>266</v>
      </c>
      <c r="AQ2" s="10"/>
    </row>
    <row r="3" spans="1:46" ht="18" x14ac:dyDescent="0.35">
      <c r="A3" t="str">
        <f>RIGHT(Table1[[#This Row],[Emp ID]],4)</f>
        <v>P002</v>
      </c>
      <c r="B3" s="3" t="s">
        <v>17</v>
      </c>
      <c r="C3" s="3">
        <f>FIND("A",Table1[[#This Row],[1.upper case]])</f>
        <v>5</v>
      </c>
      <c r="D3" s="3">
        <f>LEN(Table1[[#This Row],[7.TRIM]])</f>
        <v>5</v>
      </c>
      <c r="E3" s="3" t="str">
        <f>TRIM(Table1[[#This Row],[1.upper case]])</f>
        <v>PRIYA</v>
      </c>
      <c r="F3" s="3" t="str">
        <f>UPPER(Table1[[#This Row],[Employee Name]])</f>
        <v>PRIYA</v>
      </c>
      <c r="G3" s="3" t="s">
        <v>18</v>
      </c>
      <c r="H3" s="3" t="str">
        <f>_xlfn.CONCAT(Table1[[#This Row],[7.TRIM]],"-",Table1[[#This Row],[DepaRtmenT]])</f>
        <v>PRIYA-IT</v>
      </c>
      <c r="I3" s="3" t="str">
        <f>PROPER(Table1[[#This Row],[DepaRtmenT]])</f>
        <v>It</v>
      </c>
      <c r="J3" s="3" t="str">
        <f>IF(OR(Table1[[#This Row],[DepaRtmenT]]="HR",Table1[[#This Row],[DepaRtmenT]]="FINANCE"),"YES","NO")</f>
        <v>NO</v>
      </c>
      <c r="K3" s="3" t="s">
        <v>19</v>
      </c>
      <c r="L3" s="3" t="str">
        <f>LEFT(Table1[[#This Row],[Designation]],5)</f>
        <v>Devel</v>
      </c>
      <c r="M3" s="3" t="s">
        <v>20</v>
      </c>
      <c r="N3" s="3" t="s">
        <v>21</v>
      </c>
      <c r="O3" s="3" t="s">
        <v>22</v>
      </c>
      <c r="P3" s="3" t="str">
        <f>LEFT(Table1[[#This Row],[City]],3)</f>
        <v>Tri</v>
      </c>
      <c r="Q3" s="3">
        <f>MONTH(Table1[[#This Row],[2.DD-MMM-YYY]])</f>
        <v>1</v>
      </c>
      <c r="R3" s="3" t="str">
        <f>TEXT(Table1[[#This Row],[Joining Date]],"DD-MMM-YYYY")</f>
        <v>18-Jan-2019</v>
      </c>
      <c r="S3" s="3">
        <f ca="1">NETWORKDAYS(Table1[[#This Row],[Joining Date]],TODAY())</f>
        <v>2015</v>
      </c>
      <c r="T3" s="3">
        <f>YEAR(Table1[[#This Row],[Joining Date]])</f>
        <v>2019</v>
      </c>
      <c r="U3" s="3" t="s">
        <v>23</v>
      </c>
      <c r="V3" s="3" t="str">
        <f>IF(Table1[[#This Row],[Experience (Years)]]&gt;5,"experience","fresher")</f>
        <v>fresher</v>
      </c>
      <c r="W3" s="3">
        <v>2</v>
      </c>
      <c r="X3" s="3" t="str">
        <f>IF(Table1[[#This Row],[Experience (Years)]]&lt;=2,"JUNIOR",IF(Table1[[#This Row],[Experience (Years)]]&lt;=5,"MID LEVEL","SENIOR"))</f>
        <v>JUNIOR</v>
      </c>
      <c r="Y3" s="3">
        <v>28500</v>
      </c>
      <c r="Z3" s="3" t="str">
        <f>IF(AND(Table1[[#This Row],[Experience (Years)]]&gt;5,Table1[[#This Row],[Status]]="ACTIVE"),"YES","NO")</f>
        <v>NO</v>
      </c>
      <c r="AA3" s="3" t="s">
        <v>24</v>
      </c>
    </row>
    <row r="4" spans="1:46" ht="18" x14ac:dyDescent="0.35">
      <c r="A4" t="str">
        <f>RIGHT(Table1[[#This Row],[Emp ID]],4)</f>
        <v>P003</v>
      </c>
      <c r="B4" s="3" t="s">
        <v>25</v>
      </c>
      <c r="C4" s="3">
        <f>FIND("A",Table1[[#This Row],[1.upper case]])</f>
        <v>3</v>
      </c>
      <c r="D4" s="3">
        <f>LEN(Table1[[#This Row],[7.TRIM]])</f>
        <v>5</v>
      </c>
      <c r="E4" s="3" t="str">
        <f>TRIM(Table1[[#This Row],[1.upper case]])</f>
        <v>ARJUN</v>
      </c>
      <c r="F4" s="3" t="str">
        <f>UPPER(Table1[[#This Row],[Employee Name]])</f>
        <v xml:space="preserve">  ARJUN</v>
      </c>
      <c r="G4" s="3" t="s">
        <v>274</v>
      </c>
      <c r="H4" s="3" t="str">
        <f>_xlfn.CONCAT(Table1[[#This Row],[7.TRIM]],"-",Table1[[#This Row],[DepaRtmenT]])</f>
        <v>ARJUN-Finance</v>
      </c>
      <c r="I4" s="3" t="str">
        <f>PROPER(Table1[[#This Row],[DepaRtmenT]])</f>
        <v>Finance</v>
      </c>
      <c r="J4" s="3" t="str">
        <f>IF(OR(Table1[[#This Row],[DepaRtmenT]]="HR",Table1[[#This Row],[DepaRtmenT]]="FINANCE"),"YES","NO")</f>
        <v>YES</v>
      </c>
      <c r="K4" s="3" t="s">
        <v>27</v>
      </c>
      <c r="L4" s="3" t="str">
        <f>LEFT(Table1[[#This Row],[Designation]],5)</f>
        <v>Assoc</v>
      </c>
      <c r="M4" s="3" t="s">
        <v>28</v>
      </c>
      <c r="N4" s="3" t="s">
        <v>13</v>
      </c>
      <c r="O4" s="3" t="s">
        <v>14</v>
      </c>
      <c r="P4" s="3" t="str">
        <f>LEFT(Table1[[#This Row],[City]],3)</f>
        <v>Koc</v>
      </c>
      <c r="Q4" s="3">
        <f>MONTH(Table1[[#This Row],[2.DD-MMM-YYY]])</f>
        <v>2</v>
      </c>
      <c r="R4" s="3" t="str">
        <f>TEXT(Table1[[#This Row],[Joining Date]],"DD-MMM-YYYY")</f>
        <v>04-Feb-2019</v>
      </c>
      <c r="S4" s="3">
        <f ca="1">NETWORKDAYS(Table1[[#This Row],[Joining Date]],TODAY())</f>
        <v>2004</v>
      </c>
      <c r="T4" s="3">
        <f>YEAR(Table1[[#This Row],[Joining Date]])</f>
        <v>2019</v>
      </c>
      <c r="U4" s="3" t="s">
        <v>29</v>
      </c>
      <c r="V4" s="3" t="str">
        <f>IF(Table1[[#This Row],[Experience (Years)]]&gt;5,"experience","fresher")</f>
        <v>fresher</v>
      </c>
      <c r="W4" s="3">
        <v>3</v>
      </c>
      <c r="X4" s="3" t="str">
        <f>IF(Table1[[#This Row],[Experience (Years)]]&lt;=2,"JUNIOR",IF(Table1[[#This Row],[Experience (Years)]]&lt;=5,"MID LEVEL","SENIOR"))</f>
        <v>MID LEVEL</v>
      </c>
      <c r="Y4" s="3">
        <v>32000</v>
      </c>
      <c r="Z4" s="3" t="str">
        <f>IF(AND(Table1[[#This Row],[Experience (Years)]]&gt;5,Table1[[#This Row],[Status]]="ACTIVE"),"YES","NO")</f>
        <v>NO</v>
      </c>
      <c r="AA4" s="3" t="s">
        <v>30</v>
      </c>
      <c r="AE4">
        <v>1</v>
      </c>
      <c r="AF4" s="7" t="s">
        <v>246</v>
      </c>
      <c r="AG4" s="7"/>
      <c r="AH4" s="7"/>
      <c r="AI4" s="7"/>
      <c r="AJ4" s="7"/>
      <c r="AK4" s="7"/>
      <c r="AL4" s="7"/>
      <c r="AM4" s="7"/>
      <c r="AN4" s="7"/>
      <c r="AO4" s="7"/>
      <c r="AP4" s="8" t="s">
        <v>276</v>
      </c>
      <c r="AQ4" s="8"/>
      <c r="AR4" s="8"/>
      <c r="AS4" s="8"/>
    </row>
    <row r="5" spans="1:46" ht="18" x14ac:dyDescent="0.35">
      <c r="A5" t="str">
        <f>RIGHT(Table1[[#This Row],[Emp ID]],4)</f>
        <v>P004</v>
      </c>
      <c r="B5" s="3" t="s">
        <v>31</v>
      </c>
      <c r="C5" s="3">
        <f>FIND("A",Table1[[#This Row],[1.upper case]])</f>
        <v>1</v>
      </c>
      <c r="D5" s="3">
        <f>LEN(Table1[[#This Row],[7.TRIM]])</f>
        <v>6</v>
      </c>
      <c r="E5" s="3" t="str">
        <f>TRIM(Table1[[#This Row],[1.upper case]])</f>
        <v>ANJALI</v>
      </c>
      <c r="F5" s="3" t="str">
        <f>UPPER(Table1[[#This Row],[Employee Name]])</f>
        <v>ANJALI</v>
      </c>
      <c r="G5" s="3" t="s">
        <v>32</v>
      </c>
      <c r="H5" s="3" t="str">
        <f>_xlfn.CONCAT(Table1[[#This Row],[7.TRIM]],"-",Table1[[#This Row],[DepaRtmenT]])</f>
        <v>ANJALI-Sales</v>
      </c>
      <c r="I5" s="3" t="str">
        <f>PROPER(Table1[[#This Row],[DepaRtmenT]])</f>
        <v>Sales</v>
      </c>
      <c r="J5" s="3" t="str">
        <f>IF(OR(Table1[[#This Row],[DepaRtmenT]]="HR",Table1[[#This Row],[DepaRtmenT]]="FINANCE"),"YES","NO")</f>
        <v>NO</v>
      </c>
      <c r="K5" s="3" t="s">
        <v>33</v>
      </c>
      <c r="L5" s="3" t="str">
        <f>LEFT(Table1[[#This Row],[Designation]],5)</f>
        <v>Execu</v>
      </c>
      <c r="M5" s="3" t="s">
        <v>12</v>
      </c>
      <c r="N5" s="3" t="s">
        <v>21</v>
      </c>
      <c r="O5" s="3" t="s">
        <v>22</v>
      </c>
      <c r="P5" s="3" t="str">
        <f>LEFT(Table1[[#This Row],[City]],3)</f>
        <v>Tri</v>
      </c>
      <c r="Q5" s="3">
        <f>MONTH(Table1[[#This Row],[2.DD-MMM-YYY]])</f>
        <v>2</v>
      </c>
      <c r="R5" s="3" t="str">
        <f>TEXT(Table1[[#This Row],[Joining Date]],"DD-MMM-YYYY")</f>
        <v>21-Feb-2019</v>
      </c>
      <c r="S5" s="3">
        <f ca="1">NETWORKDAYS(Table1[[#This Row],[Joining Date]],TODAY())</f>
        <v>1991</v>
      </c>
      <c r="T5" s="3">
        <f>YEAR(Table1[[#This Row],[Joining Date]])</f>
        <v>2019</v>
      </c>
      <c r="U5" s="3" t="s">
        <v>34</v>
      </c>
      <c r="V5" s="3" t="str">
        <f>IF(Table1[[#This Row],[Experience (Years)]]&gt;5,"experience","fresher")</f>
        <v>fresher</v>
      </c>
      <c r="W5" s="3">
        <v>4</v>
      </c>
      <c r="X5" s="3" t="str">
        <f>IF(Table1[[#This Row],[Experience (Years)]]&lt;=2,"JUNIOR",IF(Table1[[#This Row],[Experience (Years)]]&lt;=5,"MID LEVEL","SENIOR"))</f>
        <v>MID LEVEL</v>
      </c>
      <c r="Y5" s="3">
        <v>35500</v>
      </c>
      <c r="Z5" s="3" t="str">
        <f>IF(AND(Table1[[#This Row],[Experience (Years)]]&gt;5,Table1[[#This Row],[Status]]="ACTIVE"),"YES","NO")</f>
        <v>NO</v>
      </c>
      <c r="AA5" s="3" t="s">
        <v>16</v>
      </c>
      <c r="AE5">
        <v>2</v>
      </c>
      <c r="AF5" s="7" t="s">
        <v>267</v>
      </c>
      <c r="AG5" s="7"/>
      <c r="AH5" s="7"/>
      <c r="AI5" s="7"/>
      <c r="AJ5" s="7"/>
      <c r="AK5" s="7"/>
      <c r="AL5" s="7"/>
      <c r="AM5" s="7"/>
      <c r="AN5" s="7"/>
      <c r="AO5" s="7"/>
      <c r="AP5" s="8" t="s">
        <v>278</v>
      </c>
      <c r="AQ5" s="8"/>
      <c r="AR5" s="8"/>
      <c r="AS5" s="8"/>
    </row>
    <row r="6" spans="1:46" ht="18" x14ac:dyDescent="0.35">
      <c r="A6" t="str">
        <f>RIGHT(Table1[[#This Row],[Emp ID]],4)</f>
        <v>P005</v>
      </c>
      <c r="B6" s="3" t="s">
        <v>35</v>
      </c>
      <c r="C6" s="3">
        <f>FIND("A",Table1[[#This Row],[1.upper case]])</f>
        <v>1</v>
      </c>
      <c r="D6" s="3">
        <f>LEN(Table1[[#This Row],[7.TRIM]])</f>
        <v>5</v>
      </c>
      <c r="E6" s="3" t="str">
        <f>TRIM(Table1[[#This Row],[1.upper case]])</f>
        <v>AKHIL</v>
      </c>
      <c r="F6" s="3" t="str">
        <f>UPPER(Table1[[#This Row],[Employee Name]])</f>
        <v>AKHIL</v>
      </c>
      <c r="G6" s="3" t="s">
        <v>36</v>
      </c>
      <c r="H6" s="3" t="str">
        <f>_xlfn.CONCAT(Table1[[#This Row],[7.TRIM]],"-",Table1[[#This Row],[DepaRtmenT]])</f>
        <v>AKHIL-Marketing</v>
      </c>
      <c r="I6" s="3" t="str">
        <f>PROPER(Table1[[#This Row],[DepaRtmenT]])</f>
        <v>Marketing</v>
      </c>
      <c r="J6" s="3" t="str">
        <f>IF(OR(Table1[[#This Row],[DepaRtmenT]]="HR",Table1[[#This Row],[DepaRtmenT]]="FINANCE"),"YES","NO")</f>
        <v>NO</v>
      </c>
      <c r="K6" s="3" t="s">
        <v>37</v>
      </c>
      <c r="L6" s="3" t="str">
        <f>LEFT(Table1[[#This Row],[Designation]],5)</f>
        <v>Devel</v>
      </c>
      <c r="M6" s="3" t="s">
        <v>20</v>
      </c>
      <c r="N6" s="3" t="s">
        <v>13</v>
      </c>
      <c r="O6" s="3" t="s">
        <v>14</v>
      </c>
      <c r="P6" s="3" t="str">
        <f>LEFT(Table1[[#This Row],[City]],3)</f>
        <v>Koc</v>
      </c>
      <c r="Q6" s="3">
        <f>MONTH(Table1[[#This Row],[2.DD-MMM-YYY]])</f>
        <v>3</v>
      </c>
      <c r="R6" s="3" t="str">
        <f>TEXT(Table1[[#This Row],[Joining Date]],"DD-MMM-YYYY")</f>
        <v>10-Mar-2019</v>
      </c>
      <c r="S6" s="3">
        <f ca="1">NETWORKDAYS(Table1[[#This Row],[Joining Date]],TODAY())</f>
        <v>1979</v>
      </c>
      <c r="T6" s="3">
        <f>YEAR(Table1[[#This Row],[Joining Date]])</f>
        <v>2019</v>
      </c>
      <c r="U6" s="3" t="s">
        <v>38</v>
      </c>
      <c r="V6" s="3" t="str">
        <f>IF(Table1[[#This Row],[Experience (Years)]]&gt;5,"experience","fresher")</f>
        <v>fresher</v>
      </c>
      <c r="W6" s="3">
        <v>5</v>
      </c>
      <c r="X6" s="3" t="str">
        <f>IF(Table1[[#This Row],[Experience (Years)]]&lt;=2,"JUNIOR",IF(Table1[[#This Row],[Experience (Years)]]&lt;=5,"MID LEVEL","SENIOR"))</f>
        <v>MID LEVEL</v>
      </c>
      <c r="Y6" s="3">
        <v>39000</v>
      </c>
      <c r="Z6" s="3" t="str">
        <f>IF(AND(Table1[[#This Row],[Experience (Years)]]&gt;5,Table1[[#This Row],[Status]]="ACTIVE"),"YES","NO")</f>
        <v>NO</v>
      </c>
      <c r="AA6" s="3" t="s">
        <v>24</v>
      </c>
      <c r="AE6">
        <v>3</v>
      </c>
      <c r="AF6" s="4" t="s">
        <v>247</v>
      </c>
      <c r="AG6" s="4"/>
      <c r="AH6" s="4"/>
      <c r="AI6" s="4"/>
      <c r="AJ6" s="4"/>
      <c r="AK6" s="4"/>
      <c r="AL6" s="4"/>
      <c r="AM6" s="4"/>
      <c r="AN6" s="4"/>
      <c r="AO6" s="4"/>
      <c r="AP6" s="8" t="s">
        <v>278</v>
      </c>
      <c r="AQ6" s="8"/>
      <c r="AR6" s="8"/>
      <c r="AS6" s="8"/>
    </row>
    <row r="7" spans="1:46" ht="18" x14ac:dyDescent="0.35">
      <c r="A7" t="str">
        <f>RIGHT(Table1[[#This Row],[Emp ID]],4)</f>
        <v>P006</v>
      </c>
      <c r="B7" s="3" t="s">
        <v>39</v>
      </c>
      <c r="C7" s="3">
        <f>FIND("A",Table1[[#This Row],[1.upper case]])</f>
        <v>9</v>
      </c>
      <c r="D7" s="3">
        <f>LEN(Table1[[#This Row],[7.TRIM]])</f>
        <v>5</v>
      </c>
      <c r="E7" s="3" t="str">
        <f>TRIM(Table1[[#This Row],[1.upper case]])</f>
        <v>MEERA</v>
      </c>
      <c r="F7" s="3" t="str">
        <f>UPPER(Table1[[#This Row],[Employee Name]])</f>
        <v xml:space="preserve">    MEERA</v>
      </c>
      <c r="G7" s="3" t="s">
        <v>272</v>
      </c>
      <c r="H7" s="3" t="str">
        <f>_xlfn.CONCAT(Table1[[#This Row],[7.TRIM]],"-",Table1[[#This Row],[DepaRtmenT]])</f>
        <v>MEERA-Operations</v>
      </c>
      <c r="I7" s="3" t="str">
        <f>PROPER(Table1[[#This Row],[DepaRtmenT]])</f>
        <v>Operations</v>
      </c>
      <c r="J7" s="3" t="str">
        <f>IF(OR(Table1[[#This Row],[DepaRtmenT]]="HR",Table1[[#This Row],[DepaRtmenT]]="FINANCE"),"YES","NO")</f>
        <v>NO</v>
      </c>
      <c r="K7" s="3" t="s">
        <v>41</v>
      </c>
      <c r="L7" s="3" t="str">
        <f>LEFT(Table1[[#This Row],[Designation]],5)</f>
        <v>Assoc</v>
      </c>
      <c r="M7" s="3" t="s">
        <v>28</v>
      </c>
      <c r="N7" s="3" t="s">
        <v>21</v>
      </c>
      <c r="O7" s="3" t="s">
        <v>22</v>
      </c>
      <c r="P7" s="3" t="str">
        <f>LEFT(Table1[[#This Row],[City]],3)</f>
        <v>Tri</v>
      </c>
      <c r="Q7" s="3">
        <f>MONTH(Table1[[#This Row],[2.DD-MMM-YYY]])</f>
        <v>3</v>
      </c>
      <c r="R7" s="3" t="str">
        <f>TEXT(Table1[[#This Row],[Joining Date]],"DD-MMM-YYYY")</f>
        <v>27-Mar-2019</v>
      </c>
      <c r="S7" s="3">
        <f ca="1">NETWORKDAYS(Table1[[#This Row],[Joining Date]],TODAY())</f>
        <v>1967</v>
      </c>
      <c r="T7" s="3">
        <f>YEAR(Table1[[#This Row],[Joining Date]])</f>
        <v>2019</v>
      </c>
      <c r="U7" s="3" t="s">
        <v>42</v>
      </c>
      <c r="V7" s="3" t="str">
        <f>IF(Table1[[#This Row],[Experience (Years)]]&gt;5,"experience","fresher")</f>
        <v>experience</v>
      </c>
      <c r="W7" s="3">
        <v>6</v>
      </c>
      <c r="X7" s="3" t="str">
        <f>IF(Table1[[#This Row],[Experience (Years)]]&lt;=2,"JUNIOR",IF(Table1[[#This Row],[Experience (Years)]]&lt;=5,"MID LEVEL","SENIOR"))</f>
        <v>SENIOR</v>
      </c>
      <c r="Y7" s="3">
        <v>42500</v>
      </c>
      <c r="Z7" s="3" t="str">
        <f>IF(AND(Table1[[#This Row],[Experience (Years)]]&gt;5,Table1[[#This Row],[Status]]="ACTIVE"),"YES","NO")</f>
        <v>NO</v>
      </c>
      <c r="AA7" s="3" t="s">
        <v>30</v>
      </c>
      <c r="AE7">
        <v>4</v>
      </c>
      <c r="AF7" s="7" t="s">
        <v>248</v>
      </c>
      <c r="AG7" s="7"/>
      <c r="AH7" s="7"/>
      <c r="AI7" s="7"/>
      <c r="AJ7" s="7"/>
      <c r="AK7" s="7"/>
      <c r="AL7" s="7"/>
      <c r="AM7" s="7"/>
      <c r="AN7" s="7"/>
      <c r="AO7" s="7"/>
      <c r="AP7" s="8"/>
      <c r="AQ7" s="8"/>
      <c r="AR7" s="8"/>
      <c r="AS7" s="8"/>
      <c r="AT7" t="s">
        <v>278</v>
      </c>
    </row>
    <row r="8" spans="1:46" ht="18" x14ac:dyDescent="0.35">
      <c r="A8" t="str">
        <f>RIGHT(Table1[[#This Row],[Emp ID]],4)</f>
        <v>P007</v>
      </c>
      <c r="B8" s="3" t="s">
        <v>43</v>
      </c>
      <c r="C8" s="3" t="e">
        <f>FIND("A",Table1[[#This Row],[1.upper case]])</f>
        <v>#VALUE!</v>
      </c>
      <c r="D8" s="3">
        <f>LEN(Table1[[#This Row],[7.TRIM]])</f>
        <v>6</v>
      </c>
      <c r="E8" s="3" t="str">
        <f>TRIM(Table1[[#This Row],[1.upper case]])</f>
        <v>VISHNU</v>
      </c>
      <c r="F8" s="3" t="str">
        <f>UPPER(Table1[[#This Row],[Employee Name]])</f>
        <v>VISHNU</v>
      </c>
      <c r="G8" s="3" t="s">
        <v>44</v>
      </c>
      <c r="H8" s="3" t="str">
        <f>_xlfn.CONCAT(Table1[[#This Row],[7.TRIM]],"-",Table1[[#This Row],[DepaRtmenT]])</f>
        <v>VISHNU-HR</v>
      </c>
      <c r="I8" s="3" t="str">
        <f>PROPER(Table1[[#This Row],[DepaRtmenT]])</f>
        <v>Hr</v>
      </c>
      <c r="J8" s="3" t="str">
        <f>IF(OR(Table1[[#This Row],[DepaRtmenT]]="HR",Table1[[#This Row],[DepaRtmenT]]="FINANCE"),"YES","NO")</f>
        <v>YES</v>
      </c>
      <c r="K8" s="3" t="s">
        <v>11</v>
      </c>
      <c r="L8" s="3" t="str">
        <f>LEFT(Table1[[#This Row],[Designation]],5)</f>
        <v>Execu</v>
      </c>
      <c r="M8" s="3" t="s">
        <v>12</v>
      </c>
      <c r="N8" s="3" t="s">
        <v>13</v>
      </c>
      <c r="O8" s="3" t="s">
        <v>14</v>
      </c>
      <c r="P8" s="3" t="str">
        <f>LEFT(Table1[[#This Row],[City]],3)</f>
        <v>Koc</v>
      </c>
      <c r="Q8" s="3">
        <f>MONTH(Table1[[#This Row],[2.DD-MMM-YYY]])</f>
        <v>4</v>
      </c>
      <c r="R8" s="3" t="str">
        <f>TEXT(Table1[[#This Row],[Joining Date]],"DD-MMM-YYYY")</f>
        <v>13-Apr-2019</v>
      </c>
      <c r="S8" s="3">
        <f ca="1">NETWORKDAYS(Table1[[#This Row],[Joining Date]],TODAY())</f>
        <v>1954</v>
      </c>
      <c r="T8" s="3">
        <f>YEAR(Table1[[#This Row],[Joining Date]])</f>
        <v>2019</v>
      </c>
      <c r="U8" s="3" t="s">
        <v>45</v>
      </c>
      <c r="V8" s="3" t="str">
        <f>IF(Table1[[#This Row],[Experience (Years)]]&gt;5,"experience","fresher")</f>
        <v>experience</v>
      </c>
      <c r="W8" s="3">
        <v>7</v>
      </c>
      <c r="X8" s="3" t="str">
        <f>IF(Table1[[#This Row],[Experience (Years)]]&lt;=2,"JUNIOR",IF(Table1[[#This Row],[Experience (Years)]]&lt;=5,"MID LEVEL","SENIOR"))</f>
        <v>SENIOR</v>
      </c>
      <c r="Y8" s="3">
        <v>46000</v>
      </c>
      <c r="Z8" s="3" t="str">
        <f>IF(AND(Table1[[#This Row],[Experience (Years)]]&gt;5,Table1[[#This Row],[Status]]="ACTIVE"),"YES","NO")</f>
        <v>YES</v>
      </c>
      <c r="AA8" s="3" t="s">
        <v>16</v>
      </c>
      <c r="AE8">
        <v>5</v>
      </c>
      <c r="AF8" s="7" t="s">
        <v>249</v>
      </c>
      <c r="AG8" s="7"/>
      <c r="AH8" s="7"/>
      <c r="AI8" s="7"/>
      <c r="AJ8" s="7"/>
      <c r="AK8" s="7"/>
      <c r="AL8" s="7"/>
      <c r="AM8" s="7"/>
      <c r="AN8" s="7"/>
      <c r="AO8" s="7"/>
      <c r="AP8" s="8"/>
      <c r="AQ8" s="8"/>
      <c r="AR8" s="8"/>
      <c r="AS8" s="8"/>
    </row>
    <row r="9" spans="1:46" ht="18" x14ac:dyDescent="0.35">
      <c r="A9" t="str">
        <f>RIGHT(Table1[[#This Row],[Emp ID]],4)</f>
        <v>P008</v>
      </c>
      <c r="B9" s="3" t="s">
        <v>46</v>
      </c>
      <c r="C9" s="3">
        <f>FIND("A",Table1[[#This Row],[1.upper case]])</f>
        <v>6</v>
      </c>
      <c r="D9" s="3">
        <f>LEN(Table1[[#This Row],[7.TRIM]])</f>
        <v>4</v>
      </c>
      <c r="E9" s="3" t="str">
        <f>TRIM(Table1[[#This Row],[1.upper case]])</f>
        <v>NEHA</v>
      </c>
      <c r="F9" s="3" t="str">
        <f>UPPER(Table1[[#This Row],[Employee Name]])</f>
        <v xml:space="preserve">  NEHA</v>
      </c>
      <c r="G9" s="3" t="s">
        <v>273</v>
      </c>
      <c r="H9" s="3" t="str">
        <f>_xlfn.CONCAT(Table1[[#This Row],[7.TRIM]],"-",Table1[[#This Row],[DepaRtmenT]])</f>
        <v>NEHA-IT</v>
      </c>
      <c r="I9" s="3" t="str">
        <f>PROPER(Table1[[#This Row],[DepaRtmenT]])</f>
        <v>It</v>
      </c>
      <c r="J9" s="3" t="str">
        <f>IF(OR(Table1[[#This Row],[DepaRtmenT]]="HR",Table1[[#This Row],[DepaRtmenT]]="FINANCE"),"YES","NO")</f>
        <v>NO</v>
      </c>
      <c r="K9" s="3" t="s">
        <v>19</v>
      </c>
      <c r="L9" s="3" t="str">
        <f>LEFT(Table1[[#This Row],[Designation]],5)</f>
        <v>Devel</v>
      </c>
      <c r="M9" s="3" t="s">
        <v>20</v>
      </c>
      <c r="N9" s="3" t="s">
        <v>21</v>
      </c>
      <c r="O9" s="3" t="s">
        <v>22</v>
      </c>
      <c r="P9" s="3" t="str">
        <f>LEFT(Table1[[#This Row],[City]],3)</f>
        <v>Tri</v>
      </c>
      <c r="Q9" s="3">
        <f>MONTH(Table1[[#This Row],[2.DD-MMM-YYY]])</f>
        <v>4</v>
      </c>
      <c r="R9" s="3" t="str">
        <f>TEXT(Table1[[#This Row],[Joining Date]],"DD-MMM-YYYY")</f>
        <v>30-Apr-2019</v>
      </c>
      <c r="S9" s="3">
        <f ca="1">NETWORKDAYS(Table1[[#This Row],[Joining Date]],TODAY())</f>
        <v>1943</v>
      </c>
      <c r="T9" s="3">
        <f>YEAR(Table1[[#This Row],[Joining Date]])</f>
        <v>2019</v>
      </c>
      <c r="U9" s="3" t="s">
        <v>48</v>
      </c>
      <c r="V9" s="3" t="str">
        <f>IF(Table1[[#This Row],[Experience (Years)]]&gt;5,"experience","fresher")</f>
        <v>experience</v>
      </c>
      <c r="W9" s="3">
        <v>8</v>
      </c>
      <c r="X9" s="3" t="str">
        <f>IF(Table1[[#This Row],[Experience (Years)]]&lt;=2,"JUNIOR",IF(Table1[[#This Row],[Experience (Years)]]&lt;=5,"MID LEVEL","SENIOR"))</f>
        <v>SENIOR</v>
      </c>
      <c r="Y9" s="3">
        <v>49500</v>
      </c>
      <c r="Z9" s="3" t="str">
        <f>IF(AND(Table1[[#This Row],[Experience (Years)]]&gt;5,Table1[[#This Row],[Status]]="ACTIVE"),"YES","NO")</f>
        <v>NO</v>
      </c>
      <c r="AA9" s="3" t="s">
        <v>24</v>
      </c>
      <c r="AE9">
        <v>6</v>
      </c>
      <c r="AF9" s="7" t="s">
        <v>249</v>
      </c>
      <c r="AG9" s="7"/>
      <c r="AH9" s="7"/>
      <c r="AI9" s="7"/>
      <c r="AJ9" s="7"/>
      <c r="AK9" s="7"/>
      <c r="AL9" s="7"/>
      <c r="AM9" s="7"/>
      <c r="AN9" s="7"/>
      <c r="AO9" s="7"/>
      <c r="AP9" s="8"/>
      <c r="AQ9" s="8"/>
      <c r="AR9" s="8"/>
      <c r="AS9" s="8"/>
    </row>
    <row r="10" spans="1:46" ht="18" x14ac:dyDescent="0.35">
      <c r="A10" t="str">
        <f>RIGHT(Table1[[#This Row],[Emp ID]],4)</f>
        <v>P009</v>
      </c>
      <c r="B10" s="3" t="s">
        <v>49</v>
      </c>
      <c r="C10" s="3">
        <f>FIND("A",Table1[[#This Row],[1.upper case]])</f>
        <v>4</v>
      </c>
      <c r="D10" s="3">
        <f>LEN(Table1[[#This Row],[7.TRIM]])</f>
        <v>5</v>
      </c>
      <c r="E10" s="3" t="str">
        <f>TRIM(Table1[[#This Row],[1.upper case]])</f>
        <v>KIRAN</v>
      </c>
      <c r="F10" s="3" t="str">
        <f>UPPER(Table1[[#This Row],[Employee Name]])</f>
        <v>KIRAN</v>
      </c>
      <c r="G10" s="3" t="s">
        <v>50</v>
      </c>
      <c r="H10" s="3" t="str">
        <f>_xlfn.CONCAT(Table1[[#This Row],[7.TRIM]],"-",Table1[[#This Row],[DepaRtmenT]])</f>
        <v>KIRAN-Finance</v>
      </c>
      <c r="I10" s="3" t="str">
        <f>PROPER(Table1[[#This Row],[DepaRtmenT]])</f>
        <v>Finance</v>
      </c>
      <c r="J10" s="3" t="str">
        <f>IF(OR(Table1[[#This Row],[DepaRtmenT]]="HR",Table1[[#This Row],[DepaRtmenT]]="FINANCE"),"YES","NO")</f>
        <v>YES</v>
      </c>
      <c r="K10" s="3" t="s">
        <v>27</v>
      </c>
      <c r="L10" s="3" t="str">
        <f>LEFT(Table1[[#This Row],[Designation]],5)</f>
        <v>Assoc</v>
      </c>
      <c r="M10" s="3" t="s">
        <v>28</v>
      </c>
      <c r="N10" s="3" t="s">
        <v>13</v>
      </c>
      <c r="O10" s="3" t="s">
        <v>14</v>
      </c>
      <c r="P10" s="3" t="str">
        <f>LEFT(Table1[[#This Row],[City]],3)</f>
        <v>Koc</v>
      </c>
      <c r="Q10" s="3">
        <f>MONTH(Table1[[#This Row],[2.DD-MMM-YYY]])</f>
        <v>5</v>
      </c>
      <c r="R10" s="3" t="str">
        <f>TEXT(Table1[[#This Row],[Joining Date]],"DD-MMM-YYYY")</f>
        <v>17-May-2019</v>
      </c>
      <c r="S10" s="3">
        <f ca="1">NETWORKDAYS(Table1[[#This Row],[Joining Date]],TODAY())</f>
        <v>1930</v>
      </c>
      <c r="T10" s="3">
        <f>YEAR(Table1[[#This Row],[Joining Date]])</f>
        <v>2019</v>
      </c>
      <c r="U10" s="3" t="s">
        <v>51</v>
      </c>
      <c r="V10" s="3" t="str">
        <f>IF(Table1[[#This Row],[Experience (Years)]]&gt;5,"experience","fresher")</f>
        <v>fresher</v>
      </c>
      <c r="W10" s="3">
        <v>1</v>
      </c>
      <c r="X10" s="3" t="str">
        <f>IF(Table1[[#This Row],[Experience (Years)]]&lt;=2,"JUNIOR",IF(Table1[[#This Row],[Experience (Years)]]&lt;=5,"MID LEVEL","SENIOR"))</f>
        <v>JUNIOR</v>
      </c>
      <c r="Y10" s="3">
        <v>53000</v>
      </c>
      <c r="Z10" s="3" t="str">
        <f>IF(AND(Table1[[#This Row],[Experience (Years)]]&gt;5,Table1[[#This Row],[Status]]="ACTIVE"),"YES","NO")</f>
        <v>NO</v>
      </c>
      <c r="AA10" s="3" t="s">
        <v>30</v>
      </c>
      <c r="AE10">
        <v>7</v>
      </c>
      <c r="AF10" s="4" t="s">
        <v>271</v>
      </c>
      <c r="AG10" s="4"/>
      <c r="AH10" s="4"/>
      <c r="AI10" s="4"/>
      <c r="AJ10" s="4"/>
      <c r="AK10" s="4"/>
      <c r="AL10" s="4"/>
      <c r="AM10" s="4"/>
      <c r="AN10" s="4"/>
      <c r="AO10" s="4"/>
      <c r="AP10" s="8" t="s">
        <v>278</v>
      </c>
      <c r="AQ10" s="8"/>
      <c r="AR10" s="8"/>
      <c r="AS10" s="8"/>
    </row>
    <row r="11" spans="1:46" ht="18" x14ac:dyDescent="0.35">
      <c r="A11" t="str">
        <f>RIGHT(Table1[[#This Row],[Emp ID]],4)</f>
        <v>P010</v>
      </c>
      <c r="B11" s="3" t="s">
        <v>52</v>
      </c>
      <c r="C11" s="3">
        <f>FIND("A",Table1[[#This Row],[1.upper case]])</f>
        <v>5</v>
      </c>
      <c r="D11" s="3">
        <f>LEN(Table1[[#This Row],[7.TRIM]])</f>
        <v>5</v>
      </c>
      <c r="E11" s="3" t="str">
        <f>TRIM(Table1[[#This Row],[1.upper case]])</f>
        <v>SNEHA</v>
      </c>
      <c r="F11" s="3" t="str">
        <f>UPPER(Table1[[#This Row],[Employee Name]])</f>
        <v>SNEHA</v>
      </c>
      <c r="G11" s="3" t="s">
        <v>53</v>
      </c>
      <c r="H11" s="3" t="str">
        <f>_xlfn.CONCAT(Table1[[#This Row],[7.TRIM]],"-",Table1[[#This Row],[DepaRtmenT]])</f>
        <v>SNEHA-Sales</v>
      </c>
      <c r="I11" s="3" t="str">
        <f>PROPER(Table1[[#This Row],[DepaRtmenT]])</f>
        <v>Sales</v>
      </c>
      <c r="J11" s="3" t="str">
        <f>IF(OR(Table1[[#This Row],[DepaRtmenT]]="HR",Table1[[#This Row],[DepaRtmenT]]="FINANCE"),"YES","NO")</f>
        <v>NO</v>
      </c>
      <c r="K11" s="3" t="s">
        <v>33</v>
      </c>
      <c r="L11" s="3" t="str">
        <f>LEFT(Table1[[#This Row],[Designation]],5)</f>
        <v>Execu</v>
      </c>
      <c r="M11" s="3" t="s">
        <v>12</v>
      </c>
      <c r="N11" s="3" t="s">
        <v>21</v>
      </c>
      <c r="O11" s="3" t="s">
        <v>22</v>
      </c>
      <c r="P11" s="3" t="str">
        <f>LEFT(Table1[[#This Row],[City]],3)</f>
        <v>Tri</v>
      </c>
      <c r="Q11" s="3">
        <f>MONTH(Table1[[#This Row],[2.DD-MMM-YYY]])</f>
        <v>6</v>
      </c>
      <c r="R11" s="3" t="str">
        <f>TEXT(Table1[[#This Row],[Joining Date]],"DD-MMM-YYYY")</f>
        <v>03-Jun-2019</v>
      </c>
      <c r="S11" s="3">
        <f ca="1">NETWORKDAYS(Table1[[#This Row],[Joining Date]],TODAY())</f>
        <v>1919</v>
      </c>
      <c r="T11" s="3">
        <f>YEAR(Table1[[#This Row],[Joining Date]])</f>
        <v>2019</v>
      </c>
      <c r="U11" s="3" t="s">
        <v>54</v>
      </c>
      <c r="V11" s="3" t="str">
        <f>IF(Table1[[#This Row],[Experience (Years)]]&gt;5,"experience","fresher")</f>
        <v>fresher</v>
      </c>
      <c r="W11" s="3">
        <v>2</v>
      </c>
      <c r="X11" s="3" t="str">
        <f>IF(Table1[[#This Row],[Experience (Years)]]&lt;=2,"JUNIOR",IF(Table1[[#This Row],[Experience (Years)]]&lt;=5,"MID LEVEL","SENIOR"))</f>
        <v>JUNIOR</v>
      </c>
      <c r="Y11" s="3">
        <v>56500</v>
      </c>
      <c r="Z11" s="3" t="str">
        <f>IF(AND(Table1[[#This Row],[Experience (Years)]]&gt;5,Table1[[#This Row],[Status]]="ACTIVE"),"YES","NO")</f>
        <v>NO</v>
      </c>
      <c r="AA11" s="3" t="s">
        <v>16</v>
      </c>
      <c r="AE11">
        <v>8</v>
      </c>
      <c r="AF11" s="7" t="s">
        <v>250</v>
      </c>
      <c r="AG11" s="7"/>
      <c r="AH11" s="7"/>
      <c r="AI11" s="7"/>
      <c r="AJ11" s="7"/>
      <c r="AK11" s="7"/>
      <c r="AL11" s="7"/>
      <c r="AM11" s="7"/>
      <c r="AN11" s="7"/>
      <c r="AO11" s="7"/>
      <c r="AP11" s="8" t="s">
        <v>278</v>
      </c>
      <c r="AQ11" s="8"/>
      <c r="AR11" s="8"/>
      <c r="AS11" s="8"/>
    </row>
    <row r="12" spans="1:46" ht="18" x14ac:dyDescent="0.35">
      <c r="A12" t="str">
        <f>RIGHT(Table1[[#This Row],[Emp ID]],4)</f>
        <v>P011</v>
      </c>
      <c r="B12" s="3" t="s">
        <v>55</v>
      </c>
      <c r="C12" s="3" t="e">
        <f>FIND("A",Table1[[#This Row],[1.upper case]])</f>
        <v>#VALUE!</v>
      </c>
      <c r="D12" s="3">
        <f>LEN(Table1[[#This Row],[7.TRIM]])</f>
        <v>5</v>
      </c>
      <c r="E12" s="3" t="str">
        <f>TRIM(Table1[[#This Row],[1.upper case]])</f>
        <v>ROHIT</v>
      </c>
      <c r="F12" s="3" t="str">
        <f>UPPER(Table1[[#This Row],[Employee Name]])</f>
        <v>ROHIT</v>
      </c>
      <c r="G12" s="3" t="s">
        <v>56</v>
      </c>
      <c r="H12" s="3" t="str">
        <f>_xlfn.CONCAT(Table1[[#This Row],[7.TRIM]],"-",Table1[[#This Row],[DepaRtmenT]])</f>
        <v>ROHIT-Marketing</v>
      </c>
      <c r="I12" s="3" t="str">
        <f>PROPER(Table1[[#This Row],[DepaRtmenT]])</f>
        <v>Marketing</v>
      </c>
      <c r="J12" s="3" t="str">
        <f>IF(OR(Table1[[#This Row],[DepaRtmenT]]="HR",Table1[[#This Row],[DepaRtmenT]]="FINANCE"),"YES","NO")</f>
        <v>NO</v>
      </c>
      <c r="K12" s="3" t="s">
        <v>37</v>
      </c>
      <c r="L12" s="3" t="str">
        <f>LEFT(Table1[[#This Row],[Designation]],5)</f>
        <v>Devel</v>
      </c>
      <c r="M12" s="3" t="s">
        <v>20</v>
      </c>
      <c r="N12" s="3" t="s">
        <v>13</v>
      </c>
      <c r="O12" s="3" t="s">
        <v>14</v>
      </c>
      <c r="P12" s="3" t="str">
        <f>LEFT(Table1[[#This Row],[City]],3)</f>
        <v>Koc</v>
      </c>
      <c r="Q12" s="3">
        <f>MONTH(Table1[[#This Row],[2.DD-MMM-YYY]])</f>
        <v>6</v>
      </c>
      <c r="R12" s="3" t="str">
        <f>TEXT(Table1[[#This Row],[Joining Date]],"DD-MMM-YYYY")</f>
        <v>20-Jun-2019</v>
      </c>
      <c r="S12" s="3">
        <f ca="1">NETWORKDAYS(Table1[[#This Row],[Joining Date]],TODAY())</f>
        <v>1906</v>
      </c>
      <c r="T12" s="3">
        <f>YEAR(Table1[[#This Row],[Joining Date]])</f>
        <v>2019</v>
      </c>
      <c r="U12" s="3" t="s">
        <v>57</v>
      </c>
      <c r="V12" s="3" t="str">
        <f>IF(Table1[[#This Row],[Experience (Years)]]&gt;5,"experience","fresher")</f>
        <v>fresher</v>
      </c>
      <c r="W12" s="3">
        <v>3</v>
      </c>
      <c r="X12" s="3" t="str">
        <f>IF(Table1[[#This Row],[Experience (Years)]]&lt;=2,"JUNIOR",IF(Table1[[#This Row],[Experience (Years)]]&lt;=5,"MID LEVEL","SENIOR"))</f>
        <v>MID LEVEL</v>
      </c>
      <c r="Y12" s="3">
        <v>60000</v>
      </c>
      <c r="Z12" s="3" t="str">
        <f>IF(AND(Table1[[#This Row],[Experience (Years)]]&gt;5,Table1[[#This Row],[Status]]="ACTIVE"),"YES","NO")</f>
        <v>NO</v>
      </c>
      <c r="AA12" s="3" t="s">
        <v>24</v>
      </c>
      <c r="AE12">
        <v>9</v>
      </c>
      <c r="AF12" s="9" t="s">
        <v>251</v>
      </c>
      <c r="AG12" s="9"/>
      <c r="AH12" s="9"/>
      <c r="AI12" s="9"/>
      <c r="AJ12" s="9"/>
      <c r="AK12" s="9"/>
      <c r="AL12" s="9"/>
      <c r="AM12" s="9"/>
      <c r="AN12" s="9"/>
      <c r="AO12" s="9"/>
      <c r="AP12" s="8"/>
      <c r="AQ12" s="8"/>
      <c r="AR12" s="8"/>
      <c r="AS12" s="8"/>
    </row>
    <row r="13" spans="1:46" ht="18" x14ac:dyDescent="0.35">
      <c r="A13" t="str">
        <f>RIGHT(Table1[[#This Row],[Emp ID]],4)</f>
        <v>P012</v>
      </c>
      <c r="B13" s="3" t="s">
        <v>58</v>
      </c>
      <c r="C13" s="3">
        <f>FIND("A",Table1[[#This Row],[1.upper case]])</f>
        <v>4</v>
      </c>
      <c r="D13" s="3">
        <f>LEN(Table1[[#This Row],[7.TRIM]])</f>
        <v>4</v>
      </c>
      <c r="E13" s="3" t="str">
        <f>TRIM(Table1[[#This Row],[1.upper case]])</f>
        <v>DIYA</v>
      </c>
      <c r="F13" s="3" t="str">
        <f>UPPER(Table1[[#This Row],[Employee Name]])</f>
        <v>DIYA</v>
      </c>
      <c r="G13" s="3" t="s">
        <v>59</v>
      </c>
      <c r="H13" s="3" t="str">
        <f>_xlfn.CONCAT(Table1[[#This Row],[7.TRIM]],"-",Table1[[#This Row],[DepaRtmenT]])</f>
        <v>DIYA-Operations</v>
      </c>
      <c r="I13" s="3" t="str">
        <f>PROPER(Table1[[#This Row],[DepaRtmenT]])</f>
        <v>Operations</v>
      </c>
      <c r="J13" s="3" t="str">
        <f>IF(OR(Table1[[#This Row],[DepaRtmenT]]="HR",Table1[[#This Row],[DepaRtmenT]]="FINANCE"),"YES","NO")</f>
        <v>NO</v>
      </c>
      <c r="K13" s="3" t="s">
        <v>41</v>
      </c>
      <c r="L13" s="3" t="str">
        <f>LEFT(Table1[[#This Row],[Designation]],5)</f>
        <v>Assoc</v>
      </c>
      <c r="M13" s="3" t="s">
        <v>28</v>
      </c>
      <c r="N13" s="3" t="s">
        <v>21</v>
      </c>
      <c r="O13" s="3" t="s">
        <v>22</v>
      </c>
      <c r="P13" s="3" t="str">
        <f>LEFT(Table1[[#This Row],[City]],3)</f>
        <v>Tri</v>
      </c>
      <c r="Q13" s="3">
        <f>MONTH(Table1[[#This Row],[2.DD-MMM-YYY]])</f>
        <v>7</v>
      </c>
      <c r="R13" s="3" t="str">
        <f>TEXT(Table1[[#This Row],[Joining Date]],"DD-MMM-YYYY")</f>
        <v>07-Jul-2019</v>
      </c>
      <c r="S13" s="3">
        <f ca="1">NETWORKDAYS(Table1[[#This Row],[Joining Date]],TODAY())</f>
        <v>1894</v>
      </c>
      <c r="T13" s="3">
        <f>YEAR(Table1[[#This Row],[Joining Date]])</f>
        <v>2019</v>
      </c>
      <c r="U13" s="3" t="s">
        <v>60</v>
      </c>
      <c r="V13" s="3" t="str">
        <f>IF(Table1[[#This Row],[Experience (Years)]]&gt;5,"experience","fresher")</f>
        <v>fresher</v>
      </c>
      <c r="W13" s="3">
        <v>4</v>
      </c>
      <c r="X13" s="3" t="str">
        <f>IF(Table1[[#This Row],[Experience (Years)]]&lt;=2,"JUNIOR",IF(Table1[[#This Row],[Experience (Years)]]&lt;=5,"MID LEVEL","SENIOR"))</f>
        <v>MID LEVEL</v>
      </c>
      <c r="Y13" s="3">
        <v>63500</v>
      </c>
      <c r="Z13" s="3" t="str">
        <f>IF(AND(Table1[[#This Row],[Experience (Years)]]&gt;5,Table1[[#This Row],[Status]]="ACTIVE"),"YES","NO")</f>
        <v>NO</v>
      </c>
      <c r="AA13" s="3" t="s">
        <v>30</v>
      </c>
      <c r="AE13">
        <v>10</v>
      </c>
      <c r="AF13" s="9" t="s">
        <v>252</v>
      </c>
      <c r="AG13" s="9"/>
      <c r="AH13" s="9"/>
      <c r="AI13" s="9"/>
      <c r="AJ13" s="9"/>
      <c r="AK13" s="9"/>
      <c r="AL13" s="9"/>
      <c r="AM13" s="9"/>
      <c r="AN13" s="9"/>
      <c r="AO13" s="9"/>
      <c r="AP13" s="8" t="s">
        <v>278</v>
      </c>
      <c r="AQ13" s="8"/>
      <c r="AR13" s="8"/>
      <c r="AS13" s="8"/>
    </row>
    <row r="14" spans="1:46" ht="18" x14ac:dyDescent="0.35">
      <c r="A14" t="str">
        <f>RIGHT(Table1[[#This Row],[Emp ID]],4)</f>
        <v>P013</v>
      </c>
      <c r="B14" s="3" t="s">
        <v>61</v>
      </c>
      <c r="C14" s="3">
        <f>FIND("A",Table1[[#This Row],[1.upper case]])</f>
        <v>1</v>
      </c>
      <c r="D14" s="3">
        <f>LEN(Table1[[#This Row],[7.TRIM]])</f>
        <v>5</v>
      </c>
      <c r="E14" s="3" t="str">
        <f>TRIM(Table1[[#This Row],[1.upper case]])</f>
        <v>ANOOP</v>
      </c>
      <c r="F14" s="3" t="str">
        <f>UPPER(Table1[[#This Row],[Employee Name]])</f>
        <v>ANOOP</v>
      </c>
      <c r="G14" s="3" t="s">
        <v>62</v>
      </c>
      <c r="H14" s="3" t="str">
        <f>_xlfn.CONCAT(Table1[[#This Row],[7.TRIM]],"-",Table1[[#This Row],[DepaRtmenT]])</f>
        <v>ANOOP-HR</v>
      </c>
      <c r="I14" s="3" t="str">
        <f>PROPER(Table1[[#This Row],[DepaRtmenT]])</f>
        <v>Hr</v>
      </c>
      <c r="J14" s="3" t="str">
        <f>IF(OR(Table1[[#This Row],[DepaRtmenT]]="HR",Table1[[#This Row],[DepaRtmenT]]="FINANCE"),"YES","NO")</f>
        <v>YES</v>
      </c>
      <c r="K14" s="3" t="s">
        <v>11</v>
      </c>
      <c r="L14" s="3" t="str">
        <f>LEFT(Table1[[#This Row],[Designation]],5)</f>
        <v>Execu</v>
      </c>
      <c r="M14" s="3" t="s">
        <v>12</v>
      </c>
      <c r="N14" s="3" t="s">
        <v>13</v>
      </c>
      <c r="O14" s="3" t="s">
        <v>14</v>
      </c>
      <c r="P14" s="3" t="str">
        <f>LEFT(Table1[[#This Row],[City]],3)</f>
        <v>Koc</v>
      </c>
      <c r="Q14" s="3">
        <f>MONTH(Table1[[#This Row],[2.DD-MMM-YYY]])</f>
        <v>7</v>
      </c>
      <c r="R14" s="3" t="str">
        <f>TEXT(Table1[[#This Row],[Joining Date]],"DD-MMM-YYYY")</f>
        <v>24-Jul-2019</v>
      </c>
      <c r="S14" s="3">
        <f ca="1">NETWORKDAYS(Table1[[#This Row],[Joining Date]],TODAY())</f>
        <v>1882</v>
      </c>
      <c r="T14" s="3">
        <f>YEAR(Table1[[#This Row],[Joining Date]])</f>
        <v>2019</v>
      </c>
      <c r="U14" s="3" t="s">
        <v>63</v>
      </c>
      <c r="V14" s="3" t="str">
        <f>IF(Table1[[#This Row],[Experience (Years)]]&gt;5,"experience","fresher")</f>
        <v>fresher</v>
      </c>
      <c r="W14" s="3">
        <v>5</v>
      </c>
      <c r="X14" s="3" t="str">
        <f>IF(Table1[[#This Row],[Experience (Years)]]&lt;=2,"JUNIOR",IF(Table1[[#This Row],[Experience (Years)]]&lt;=5,"MID LEVEL","SENIOR"))</f>
        <v>MID LEVEL</v>
      </c>
      <c r="Y14" s="3">
        <v>67000</v>
      </c>
      <c r="Z14" s="3" t="str">
        <f>IF(AND(Table1[[#This Row],[Experience (Years)]]&gt;5,Table1[[#This Row],[Status]]="ACTIVE"),"YES","NO")</f>
        <v>NO</v>
      </c>
      <c r="AA14" s="3" t="s">
        <v>16</v>
      </c>
      <c r="AE14">
        <v>11</v>
      </c>
      <c r="AF14" s="9" t="s">
        <v>253</v>
      </c>
      <c r="AG14" s="9"/>
      <c r="AH14" s="9"/>
      <c r="AI14" s="9"/>
      <c r="AJ14" s="9"/>
      <c r="AK14" s="9"/>
      <c r="AL14" s="9"/>
      <c r="AM14" s="9"/>
      <c r="AN14" s="9"/>
      <c r="AO14" s="9"/>
      <c r="AP14" s="8" t="s">
        <v>278</v>
      </c>
      <c r="AQ14" s="8"/>
      <c r="AR14" s="8"/>
      <c r="AS14" s="8"/>
    </row>
    <row r="15" spans="1:46" ht="18" x14ac:dyDescent="0.35">
      <c r="A15" t="str">
        <f>RIGHT(Table1[[#This Row],[Emp ID]],4)</f>
        <v>P014</v>
      </c>
      <c r="B15" s="3" t="s">
        <v>64</v>
      </c>
      <c r="C15" s="3">
        <f>FIND("A",Table1[[#This Row],[1.upper case]])</f>
        <v>6</v>
      </c>
      <c r="D15" s="3">
        <f>LEN(Table1[[#This Row],[7.TRIM]])</f>
        <v>6</v>
      </c>
      <c r="E15" s="3" t="str">
        <f>TRIM(Table1[[#This Row],[1.upper case]])</f>
        <v>NITHYA</v>
      </c>
      <c r="F15" s="3" t="str">
        <f>UPPER(Table1[[#This Row],[Employee Name]])</f>
        <v>NITHYA</v>
      </c>
      <c r="G15" s="3" t="s">
        <v>65</v>
      </c>
      <c r="H15" s="3" t="str">
        <f>_xlfn.CONCAT(Table1[[#This Row],[7.TRIM]],"-",Table1[[#This Row],[DepaRtmenT]])</f>
        <v>NITHYA-IT</v>
      </c>
      <c r="I15" s="3" t="str">
        <f>PROPER(Table1[[#This Row],[DepaRtmenT]])</f>
        <v>It</v>
      </c>
      <c r="J15" s="3" t="str">
        <f>IF(OR(Table1[[#This Row],[DepaRtmenT]]="HR",Table1[[#This Row],[DepaRtmenT]]="FINANCE"),"YES","NO")</f>
        <v>NO</v>
      </c>
      <c r="K15" s="3" t="s">
        <v>19</v>
      </c>
      <c r="L15" s="3" t="str">
        <f>LEFT(Table1[[#This Row],[Designation]],5)</f>
        <v>Devel</v>
      </c>
      <c r="M15" s="3" t="s">
        <v>20</v>
      </c>
      <c r="N15" s="3" t="s">
        <v>21</v>
      </c>
      <c r="O15" s="3" t="s">
        <v>22</v>
      </c>
      <c r="P15" s="3" t="str">
        <f>LEFT(Table1[[#This Row],[City]],3)</f>
        <v>Tri</v>
      </c>
      <c r="Q15" s="3">
        <f>MONTH(Table1[[#This Row],[2.DD-MMM-YYY]])</f>
        <v>8</v>
      </c>
      <c r="R15" s="3" t="str">
        <f>TEXT(Table1[[#This Row],[Joining Date]],"DD-MMM-YYYY")</f>
        <v>10-Aug-2019</v>
      </c>
      <c r="S15" s="3">
        <f ca="1">NETWORKDAYS(Table1[[#This Row],[Joining Date]],TODAY())</f>
        <v>1869</v>
      </c>
      <c r="T15" s="3">
        <f>YEAR(Table1[[#This Row],[Joining Date]])</f>
        <v>2019</v>
      </c>
      <c r="U15" s="3" t="s">
        <v>66</v>
      </c>
      <c r="V15" s="3" t="str">
        <f>IF(Table1[[#This Row],[Experience (Years)]]&gt;5,"experience","fresher")</f>
        <v>experience</v>
      </c>
      <c r="W15" s="3">
        <v>6</v>
      </c>
      <c r="X15" s="3" t="str">
        <f>IF(Table1[[#This Row],[Experience (Years)]]&lt;=2,"JUNIOR",IF(Table1[[#This Row],[Experience (Years)]]&lt;=5,"MID LEVEL","SENIOR"))</f>
        <v>SENIOR</v>
      </c>
      <c r="Y15" s="3">
        <v>70500</v>
      </c>
      <c r="Z15" s="3" t="str">
        <f>IF(AND(Table1[[#This Row],[Experience (Years)]]&gt;5,Table1[[#This Row],[Status]]="ACTIVE"),"YES","NO")</f>
        <v>NO</v>
      </c>
      <c r="AA15" s="3" t="s">
        <v>24</v>
      </c>
      <c r="AE15">
        <v>12</v>
      </c>
      <c r="AF15" s="9" t="s">
        <v>254</v>
      </c>
      <c r="AG15" s="9"/>
      <c r="AH15" s="9"/>
      <c r="AI15" s="9"/>
      <c r="AJ15" s="9"/>
      <c r="AK15" s="9"/>
      <c r="AL15" s="9"/>
      <c r="AM15" s="9"/>
      <c r="AN15" s="9"/>
      <c r="AO15" s="9"/>
      <c r="AP15" s="8"/>
      <c r="AQ15" s="8"/>
      <c r="AR15" s="8"/>
      <c r="AS15" s="8"/>
    </row>
    <row r="16" spans="1:46" ht="18" x14ac:dyDescent="0.35">
      <c r="A16" t="str">
        <f>RIGHT(Table1[[#This Row],[Emp ID]],4)</f>
        <v>P015</v>
      </c>
      <c r="B16" s="3" t="s">
        <v>67</v>
      </c>
      <c r="C16" s="3">
        <f>FIND("A",Table1[[#This Row],[1.upper case]])</f>
        <v>1</v>
      </c>
      <c r="D16" s="3">
        <f>LEN(Table1[[#This Row],[7.TRIM]])</f>
        <v>6</v>
      </c>
      <c r="E16" s="3" t="str">
        <f>TRIM(Table1[[#This Row],[1.upper case]])</f>
        <v>ADITYA</v>
      </c>
      <c r="F16" s="3" t="str">
        <f>UPPER(Table1[[#This Row],[Employee Name]])</f>
        <v>ADITYA</v>
      </c>
      <c r="G16" s="3" t="s">
        <v>68</v>
      </c>
      <c r="H16" s="3" t="str">
        <f>_xlfn.CONCAT(Table1[[#This Row],[7.TRIM]],"-",Table1[[#This Row],[DepaRtmenT]])</f>
        <v>ADITYA-Finance</v>
      </c>
      <c r="I16" s="3" t="str">
        <f>PROPER(Table1[[#This Row],[DepaRtmenT]])</f>
        <v>Finance</v>
      </c>
      <c r="J16" s="3" t="str">
        <f>IF(OR(Table1[[#This Row],[DepaRtmenT]]="HR",Table1[[#This Row],[DepaRtmenT]]="FINANCE"),"YES","NO")</f>
        <v>YES</v>
      </c>
      <c r="K16" s="3" t="s">
        <v>27</v>
      </c>
      <c r="L16" s="3" t="str">
        <f>LEFT(Table1[[#This Row],[Designation]],5)</f>
        <v>Assoc</v>
      </c>
      <c r="M16" s="3" t="s">
        <v>28</v>
      </c>
      <c r="N16" s="3" t="s">
        <v>13</v>
      </c>
      <c r="O16" s="3" t="s">
        <v>14</v>
      </c>
      <c r="P16" s="3" t="str">
        <f>LEFT(Table1[[#This Row],[City]],3)</f>
        <v>Koc</v>
      </c>
      <c r="Q16" s="3">
        <f>MONTH(Table1[[#This Row],[2.DD-MMM-YYY]])</f>
        <v>8</v>
      </c>
      <c r="R16" s="3" t="str">
        <f>TEXT(Table1[[#This Row],[Joining Date]],"DD-MMM-YYYY")</f>
        <v>27-Aug-2019</v>
      </c>
      <c r="S16" s="3">
        <f ca="1">NETWORKDAYS(Table1[[#This Row],[Joining Date]],TODAY())</f>
        <v>1858</v>
      </c>
      <c r="T16" s="3">
        <f>YEAR(Table1[[#This Row],[Joining Date]])</f>
        <v>2019</v>
      </c>
      <c r="U16" s="3" t="s">
        <v>69</v>
      </c>
      <c r="V16" s="3" t="str">
        <f>IF(Table1[[#This Row],[Experience (Years)]]&gt;5,"experience","fresher")</f>
        <v>experience</v>
      </c>
      <c r="W16" s="3">
        <v>7</v>
      </c>
      <c r="X16" s="3" t="str">
        <f>IF(Table1[[#This Row],[Experience (Years)]]&lt;=2,"JUNIOR",IF(Table1[[#This Row],[Experience (Years)]]&lt;=5,"MID LEVEL","SENIOR"))</f>
        <v>SENIOR</v>
      </c>
      <c r="Y16" s="3">
        <v>74000</v>
      </c>
      <c r="Z16" s="3" t="str">
        <f>IF(AND(Table1[[#This Row],[Experience (Years)]]&gt;5,Table1[[#This Row],[Status]]="ACTIVE"),"YES","NO")</f>
        <v>NO</v>
      </c>
      <c r="AA16" s="3" t="s">
        <v>30</v>
      </c>
      <c r="AE16">
        <v>13</v>
      </c>
      <c r="AF16" s="9" t="s">
        <v>255</v>
      </c>
      <c r="AG16" s="9"/>
      <c r="AH16" s="9"/>
      <c r="AI16" s="9"/>
      <c r="AJ16" s="9"/>
      <c r="AK16" s="9"/>
      <c r="AL16" s="9"/>
      <c r="AM16" s="9"/>
      <c r="AN16" s="9"/>
      <c r="AO16" s="9"/>
      <c r="AP16" s="8" t="s">
        <v>278</v>
      </c>
      <c r="AQ16" s="8"/>
      <c r="AR16" s="8"/>
      <c r="AS16" s="8"/>
    </row>
    <row r="17" spans="1:45" ht="18" x14ac:dyDescent="0.35">
      <c r="A17" t="str">
        <f>RIGHT(Table1[[#This Row],[Emp ID]],4)</f>
        <v>P016</v>
      </c>
      <c r="B17" s="3" t="s">
        <v>70</v>
      </c>
      <c r="C17" s="3">
        <f>FIND("A",Table1[[#This Row],[1.upper case]])</f>
        <v>1</v>
      </c>
      <c r="D17" s="3">
        <f>LEN(Table1[[#This Row],[7.TRIM]])</f>
        <v>4</v>
      </c>
      <c r="E17" s="3" t="str">
        <f>TRIM(Table1[[#This Row],[1.upper case]])</f>
        <v>ASHA</v>
      </c>
      <c r="F17" s="3" t="str">
        <f>UPPER(Table1[[#This Row],[Employee Name]])</f>
        <v>ASHA</v>
      </c>
      <c r="G17" s="3" t="s">
        <v>71</v>
      </c>
      <c r="H17" s="3" t="str">
        <f>_xlfn.CONCAT(Table1[[#This Row],[7.TRIM]],"-",Table1[[#This Row],[DepaRtmenT]])</f>
        <v>ASHA-Sales</v>
      </c>
      <c r="I17" s="3" t="str">
        <f>PROPER(Table1[[#This Row],[DepaRtmenT]])</f>
        <v>Sales</v>
      </c>
      <c r="J17" s="3" t="str">
        <f>IF(OR(Table1[[#This Row],[DepaRtmenT]]="HR",Table1[[#This Row],[DepaRtmenT]]="FINANCE"),"YES","NO")</f>
        <v>NO</v>
      </c>
      <c r="K17" s="3" t="s">
        <v>33</v>
      </c>
      <c r="L17" s="3" t="str">
        <f>LEFT(Table1[[#This Row],[Designation]],5)</f>
        <v>Execu</v>
      </c>
      <c r="M17" s="3" t="s">
        <v>12</v>
      </c>
      <c r="N17" s="3" t="s">
        <v>21</v>
      </c>
      <c r="O17" s="3" t="s">
        <v>22</v>
      </c>
      <c r="P17" s="3" t="str">
        <f>LEFT(Table1[[#This Row],[City]],3)</f>
        <v>Tri</v>
      </c>
      <c r="Q17" s="3">
        <f>MONTH(Table1[[#This Row],[2.DD-MMM-YYY]])</f>
        <v>9</v>
      </c>
      <c r="R17" s="3" t="str">
        <f>TEXT(Table1[[#This Row],[Joining Date]],"DD-MMM-YYYY")</f>
        <v>13-Sep-2019</v>
      </c>
      <c r="S17" s="3">
        <f ca="1">NETWORKDAYS(Table1[[#This Row],[Joining Date]],TODAY())</f>
        <v>1845</v>
      </c>
      <c r="T17" s="3">
        <f>YEAR(Table1[[#This Row],[Joining Date]])</f>
        <v>2019</v>
      </c>
      <c r="U17" s="3" t="s">
        <v>72</v>
      </c>
      <c r="V17" s="3" t="str">
        <f>IF(Table1[[#This Row],[Experience (Years)]]&gt;5,"experience","fresher")</f>
        <v>experience</v>
      </c>
      <c r="W17" s="3">
        <v>8</v>
      </c>
      <c r="X17" s="3" t="str">
        <f>IF(Table1[[#This Row],[Experience (Years)]]&lt;=2,"JUNIOR",IF(Table1[[#This Row],[Experience (Years)]]&lt;=5,"MID LEVEL","SENIOR"))</f>
        <v>SENIOR</v>
      </c>
      <c r="Y17" s="3">
        <v>25000</v>
      </c>
      <c r="Z17" s="3" t="str">
        <f>IF(AND(Table1[[#This Row],[Experience (Years)]]&gt;5,Table1[[#This Row],[Status]]="ACTIVE"),"YES","NO")</f>
        <v>YES</v>
      </c>
      <c r="AA17" s="3" t="s">
        <v>16</v>
      </c>
      <c r="AE17">
        <v>14</v>
      </c>
      <c r="AF17" s="9" t="s">
        <v>256</v>
      </c>
      <c r="AG17" s="9"/>
      <c r="AH17" s="9"/>
      <c r="AI17" s="9"/>
      <c r="AJ17" s="9"/>
      <c r="AK17" s="9"/>
      <c r="AL17" s="9"/>
      <c r="AM17" s="9"/>
      <c r="AN17" s="9"/>
      <c r="AO17" s="9"/>
      <c r="AP17" s="8" t="s">
        <v>278</v>
      </c>
      <c r="AQ17" s="8"/>
      <c r="AR17" s="8"/>
      <c r="AS17" s="8"/>
    </row>
    <row r="18" spans="1:45" ht="18" x14ac:dyDescent="0.35">
      <c r="A18" t="str">
        <f>RIGHT(Table1[[#This Row],[Emp ID]],4)</f>
        <v>P017</v>
      </c>
      <c r="B18" s="3" t="s">
        <v>73</v>
      </c>
      <c r="C18" s="3">
        <f>FIND("A",Table1[[#This Row],[1.upper case]])</f>
        <v>2</v>
      </c>
      <c r="D18" s="3">
        <f>LEN(Table1[[#This Row],[7.TRIM]])</f>
        <v>5</v>
      </c>
      <c r="E18" s="3" t="str">
        <f>TRIM(Table1[[#This Row],[1.upper case]])</f>
        <v>VARUN</v>
      </c>
      <c r="F18" s="3" t="str">
        <f>UPPER(Table1[[#This Row],[Employee Name]])</f>
        <v>VARUN</v>
      </c>
      <c r="G18" s="3" t="s">
        <v>74</v>
      </c>
      <c r="H18" s="3" t="str">
        <f>_xlfn.CONCAT(Table1[[#This Row],[7.TRIM]],"-",Table1[[#This Row],[DepaRtmenT]])</f>
        <v>VARUN-Marketing</v>
      </c>
      <c r="I18" s="3" t="str">
        <f>PROPER(Table1[[#This Row],[DepaRtmenT]])</f>
        <v>Marketing</v>
      </c>
      <c r="J18" s="3" t="str">
        <f>IF(OR(Table1[[#This Row],[DepaRtmenT]]="HR",Table1[[#This Row],[DepaRtmenT]]="FINANCE"),"YES","NO")</f>
        <v>NO</v>
      </c>
      <c r="K18" s="3" t="s">
        <v>37</v>
      </c>
      <c r="L18" s="3" t="str">
        <f>LEFT(Table1[[#This Row],[Designation]],5)</f>
        <v>Devel</v>
      </c>
      <c r="M18" s="3" t="s">
        <v>20</v>
      </c>
      <c r="N18" s="3" t="s">
        <v>13</v>
      </c>
      <c r="O18" s="3" t="s">
        <v>14</v>
      </c>
      <c r="P18" s="3" t="str">
        <f>LEFT(Table1[[#This Row],[City]],3)</f>
        <v>Koc</v>
      </c>
      <c r="Q18" s="3">
        <f>MONTH(Table1[[#This Row],[2.DD-MMM-YYY]])</f>
        <v>9</v>
      </c>
      <c r="R18" s="3" t="str">
        <f>TEXT(Table1[[#This Row],[Joining Date]],"DD-MMM-YYYY")</f>
        <v>30-Sep-2019</v>
      </c>
      <c r="S18" s="3">
        <f ca="1">NETWORKDAYS(Table1[[#This Row],[Joining Date]],TODAY())</f>
        <v>1834</v>
      </c>
      <c r="T18" s="3">
        <f>YEAR(Table1[[#This Row],[Joining Date]])</f>
        <v>2019</v>
      </c>
      <c r="U18" s="3" t="s">
        <v>75</v>
      </c>
      <c r="V18" s="3" t="str">
        <f>IF(Table1[[#This Row],[Experience (Years)]]&gt;5,"experience","fresher")</f>
        <v>fresher</v>
      </c>
      <c r="W18" s="3">
        <v>1</v>
      </c>
      <c r="X18" s="3" t="str">
        <f>IF(Table1[[#This Row],[Experience (Years)]]&lt;=2,"JUNIOR",IF(Table1[[#This Row],[Experience (Years)]]&lt;=5,"MID LEVEL","SENIOR"))</f>
        <v>JUNIOR</v>
      </c>
      <c r="Y18" s="3">
        <v>28500</v>
      </c>
      <c r="Z18" s="3" t="str">
        <f>IF(AND(Table1[[#This Row],[Experience (Years)]]&gt;5,Table1[[#This Row],[Status]]="ACTIVE"),"YES","NO")</f>
        <v>NO</v>
      </c>
      <c r="AA18" s="3" t="s">
        <v>24</v>
      </c>
      <c r="AE18">
        <v>15</v>
      </c>
      <c r="AF18" s="9" t="s">
        <v>258</v>
      </c>
      <c r="AG18" s="9"/>
      <c r="AH18" s="9"/>
      <c r="AI18" s="9"/>
      <c r="AJ18" s="9"/>
      <c r="AK18" s="9"/>
      <c r="AL18" s="9"/>
      <c r="AM18" s="9"/>
      <c r="AN18" s="9"/>
      <c r="AO18" s="9"/>
      <c r="AP18" s="8" t="s">
        <v>278</v>
      </c>
      <c r="AQ18" s="8"/>
      <c r="AR18" s="8"/>
      <c r="AS18" s="8"/>
    </row>
    <row r="19" spans="1:45" ht="18" x14ac:dyDescent="0.35">
      <c r="A19" t="str">
        <f>RIGHT(Table1[[#This Row],[Emp ID]],4)</f>
        <v>P018</v>
      </c>
      <c r="B19" s="3" t="s">
        <v>76</v>
      </c>
      <c r="C19" s="3">
        <f>FIND("A",Table1[[#This Row],[1.upper case]])</f>
        <v>7</v>
      </c>
      <c r="D19" s="3">
        <f>LEN(Table1[[#This Row],[7.TRIM]])</f>
        <v>9</v>
      </c>
      <c r="E19" s="3" t="str">
        <f>TRIM(Table1[[#This Row],[1.upper case]])</f>
        <v>KEERTHANA</v>
      </c>
      <c r="F19" s="3" t="str">
        <f>UPPER(Table1[[#This Row],[Employee Name]])</f>
        <v>KEERTHANA</v>
      </c>
      <c r="G19" s="3" t="s">
        <v>77</v>
      </c>
      <c r="H19" s="3" t="str">
        <f>_xlfn.CONCAT(Table1[[#This Row],[7.TRIM]],"-",Table1[[#This Row],[DepaRtmenT]])</f>
        <v>KEERTHANA-Operations</v>
      </c>
      <c r="I19" s="3" t="str">
        <f>PROPER(Table1[[#This Row],[DepaRtmenT]])</f>
        <v>Operations</v>
      </c>
      <c r="J19" s="3" t="str">
        <f>IF(OR(Table1[[#This Row],[DepaRtmenT]]="HR",Table1[[#This Row],[DepaRtmenT]]="FINANCE"),"YES","NO")</f>
        <v>NO</v>
      </c>
      <c r="K19" s="3" t="s">
        <v>41</v>
      </c>
      <c r="L19" s="3" t="str">
        <f>LEFT(Table1[[#This Row],[Designation]],5)</f>
        <v>Assoc</v>
      </c>
      <c r="M19" s="3" t="s">
        <v>28</v>
      </c>
      <c r="N19" s="3" t="s">
        <v>21</v>
      </c>
      <c r="O19" s="3" t="s">
        <v>22</v>
      </c>
      <c r="P19" s="3" t="str">
        <f>LEFT(Table1[[#This Row],[City]],3)</f>
        <v>Tri</v>
      </c>
      <c r="Q19" s="3">
        <f>MONTH(Table1[[#This Row],[2.DD-MMM-YYY]])</f>
        <v>10</v>
      </c>
      <c r="R19" s="3" t="str">
        <f>TEXT(Table1[[#This Row],[Joining Date]],"DD-MMM-YYYY")</f>
        <v>17-Oct-2019</v>
      </c>
      <c r="S19" s="3">
        <f ca="1">NETWORKDAYS(Table1[[#This Row],[Joining Date]],TODAY())</f>
        <v>1821</v>
      </c>
      <c r="T19" s="3">
        <f>YEAR(Table1[[#This Row],[Joining Date]])</f>
        <v>2019</v>
      </c>
      <c r="U19" s="3" t="s">
        <v>78</v>
      </c>
      <c r="V19" s="3" t="str">
        <f>IF(Table1[[#This Row],[Experience (Years)]]&gt;5,"experience","fresher")</f>
        <v>fresher</v>
      </c>
      <c r="W19" s="3">
        <v>2</v>
      </c>
      <c r="X19" s="3" t="str">
        <f>IF(Table1[[#This Row],[Experience (Years)]]&lt;=2,"JUNIOR",IF(Table1[[#This Row],[Experience (Years)]]&lt;=5,"MID LEVEL","SENIOR"))</f>
        <v>JUNIOR</v>
      </c>
      <c r="Y19" s="3">
        <v>32000</v>
      </c>
      <c r="Z19" s="3" t="str">
        <f>IF(AND(Table1[[#This Row],[Experience (Years)]]&gt;5,Table1[[#This Row],[Status]]="ACTIVE"),"YES","NO")</f>
        <v>NO</v>
      </c>
      <c r="AA19" s="3" t="s">
        <v>30</v>
      </c>
      <c r="AE19">
        <v>16</v>
      </c>
      <c r="AF19" s="4" t="s">
        <v>257</v>
      </c>
      <c r="AG19" s="4"/>
      <c r="AH19" s="4"/>
      <c r="AI19" s="4"/>
      <c r="AJ19" s="4"/>
      <c r="AK19" s="4"/>
      <c r="AL19" s="4"/>
      <c r="AM19" s="4"/>
      <c r="AN19" s="4"/>
      <c r="AO19" s="4"/>
      <c r="AP19" s="8"/>
      <c r="AQ19" s="8"/>
      <c r="AR19" s="8"/>
      <c r="AS19" s="8"/>
    </row>
    <row r="20" spans="1:45" ht="18" x14ac:dyDescent="0.35">
      <c r="A20" t="str">
        <f>RIGHT(Table1[[#This Row],[Emp ID]],4)</f>
        <v>P019</v>
      </c>
      <c r="B20" s="3" t="s">
        <v>79</v>
      </c>
      <c r="C20" s="3" t="e">
        <f>FIND("A",Table1[[#This Row],[1.upper case]])</f>
        <v>#VALUE!</v>
      </c>
      <c r="D20" s="3">
        <f>LEN(Table1[[#This Row],[7.TRIM]])</f>
        <v>4</v>
      </c>
      <c r="E20" s="3" t="str">
        <f>TRIM(Table1[[#This Row],[1.upper case]])</f>
        <v>JOEL</v>
      </c>
      <c r="F20" s="3" t="str">
        <f>UPPER(Table1[[#This Row],[Employee Name]])</f>
        <v>JOEL</v>
      </c>
      <c r="G20" s="3" t="s">
        <v>80</v>
      </c>
      <c r="H20" s="3" t="str">
        <f>_xlfn.CONCAT(Table1[[#This Row],[7.TRIM]],"-",Table1[[#This Row],[DepaRtmenT]])</f>
        <v>JOEL-HR</v>
      </c>
      <c r="I20" s="3" t="str">
        <f>PROPER(Table1[[#This Row],[DepaRtmenT]])</f>
        <v>Hr</v>
      </c>
      <c r="J20" s="3" t="str">
        <f>IF(OR(Table1[[#This Row],[DepaRtmenT]]="HR",Table1[[#This Row],[DepaRtmenT]]="FINANCE"),"YES","NO")</f>
        <v>YES</v>
      </c>
      <c r="K20" s="3" t="s">
        <v>11</v>
      </c>
      <c r="L20" s="3" t="str">
        <f>LEFT(Table1[[#This Row],[Designation]],5)</f>
        <v>Execu</v>
      </c>
      <c r="M20" s="3" t="s">
        <v>12</v>
      </c>
      <c r="N20" s="3" t="s">
        <v>13</v>
      </c>
      <c r="O20" s="3" t="s">
        <v>14</v>
      </c>
      <c r="P20" s="3" t="str">
        <f>LEFT(Table1[[#This Row],[City]],3)</f>
        <v>Koc</v>
      </c>
      <c r="Q20" s="3">
        <f>MONTH(Table1[[#This Row],[2.DD-MMM-YYY]])</f>
        <v>11</v>
      </c>
      <c r="R20" s="3" t="str">
        <f>TEXT(Table1[[#This Row],[Joining Date]],"DD-MMM-YYYY")</f>
        <v>03-Nov-2019</v>
      </c>
      <c r="S20" s="3">
        <f ca="1">NETWORKDAYS(Table1[[#This Row],[Joining Date]],TODAY())</f>
        <v>1809</v>
      </c>
      <c r="T20" s="3">
        <f>YEAR(Table1[[#This Row],[Joining Date]])</f>
        <v>2019</v>
      </c>
      <c r="U20" s="3" t="s">
        <v>81</v>
      </c>
      <c r="V20" s="3" t="str">
        <f>IF(Table1[[#This Row],[Experience (Years)]]&gt;5,"experience","fresher")</f>
        <v>fresher</v>
      </c>
      <c r="W20" s="3">
        <v>3</v>
      </c>
      <c r="X20" s="3" t="str">
        <f>IF(Table1[[#This Row],[Experience (Years)]]&lt;=2,"JUNIOR",IF(Table1[[#This Row],[Experience (Years)]]&lt;=5,"MID LEVEL","SENIOR"))</f>
        <v>MID LEVEL</v>
      </c>
      <c r="Y20" s="3">
        <v>35500</v>
      </c>
      <c r="Z20" s="3" t="str">
        <f>IF(AND(Table1[[#This Row],[Experience (Years)]]&gt;5,Table1[[#This Row],[Status]]="ACTIVE"),"YES","NO")</f>
        <v>NO</v>
      </c>
      <c r="AA20" s="3" t="s">
        <v>16</v>
      </c>
      <c r="AE20">
        <v>17</v>
      </c>
      <c r="AF20" s="4" t="s">
        <v>260</v>
      </c>
      <c r="AG20" s="4"/>
      <c r="AH20" s="4"/>
      <c r="AI20" s="4"/>
      <c r="AJ20" s="4"/>
      <c r="AK20" s="4"/>
      <c r="AL20" s="4"/>
      <c r="AM20" s="4"/>
      <c r="AN20" s="4"/>
      <c r="AO20" s="4"/>
      <c r="AP20" s="8" t="s">
        <v>278</v>
      </c>
      <c r="AQ20" s="8"/>
      <c r="AR20" s="8"/>
      <c r="AS20" s="8"/>
    </row>
    <row r="21" spans="1:45" ht="18" x14ac:dyDescent="0.35">
      <c r="A21" t="str">
        <f>RIGHT(Table1[[#This Row],[Emp ID]],4)</f>
        <v>P020</v>
      </c>
      <c r="B21" s="3" t="s">
        <v>82</v>
      </c>
      <c r="C21" s="3">
        <f>FIND("A",Table1[[#This Row],[1.upper case]])</f>
        <v>1</v>
      </c>
      <c r="D21" s="3">
        <f>LEN(Table1[[#This Row],[7.TRIM]])</f>
        <v>6</v>
      </c>
      <c r="E21" s="3" t="str">
        <f>TRIM(Table1[[#This Row],[1.upper case]])</f>
        <v>ATHIRA</v>
      </c>
      <c r="F21" s="3" t="str">
        <f>UPPER(Table1[[#This Row],[Employee Name]])</f>
        <v>ATHIRA</v>
      </c>
      <c r="G21" s="3" t="s">
        <v>83</v>
      </c>
      <c r="H21" s="3" t="str">
        <f>_xlfn.CONCAT(Table1[[#This Row],[7.TRIM]],"-",Table1[[#This Row],[DepaRtmenT]])</f>
        <v>ATHIRA-IT</v>
      </c>
      <c r="I21" s="3" t="str">
        <f>PROPER(Table1[[#This Row],[DepaRtmenT]])</f>
        <v>It</v>
      </c>
      <c r="J21" s="3" t="str">
        <f>IF(OR(Table1[[#This Row],[DepaRtmenT]]="HR",Table1[[#This Row],[DepaRtmenT]]="FINANCE"),"YES","NO")</f>
        <v>NO</v>
      </c>
      <c r="K21" s="3" t="s">
        <v>19</v>
      </c>
      <c r="L21" s="3" t="str">
        <f>LEFT(Table1[[#This Row],[Designation]],5)</f>
        <v>Devel</v>
      </c>
      <c r="M21" s="3" t="s">
        <v>20</v>
      </c>
      <c r="N21" s="3" t="s">
        <v>21</v>
      </c>
      <c r="O21" s="3" t="s">
        <v>22</v>
      </c>
      <c r="P21" s="3" t="str">
        <f>LEFT(Table1[[#This Row],[City]],3)</f>
        <v>Tri</v>
      </c>
      <c r="Q21" s="3">
        <f>MONTH(Table1[[#This Row],[2.DD-MMM-YYY]])</f>
        <v>11</v>
      </c>
      <c r="R21" s="3" t="str">
        <f>TEXT(Table1[[#This Row],[Joining Date]],"DD-MMM-YYYY")</f>
        <v>20-Nov-2019</v>
      </c>
      <c r="S21" s="3">
        <f ca="1">NETWORKDAYS(Table1[[#This Row],[Joining Date]],TODAY())</f>
        <v>1797</v>
      </c>
      <c r="T21" s="3">
        <f>YEAR(Table1[[#This Row],[Joining Date]])</f>
        <v>2019</v>
      </c>
      <c r="U21" s="3" t="s">
        <v>84</v>
      </c>
      <c r="V21" s="3" t="str">
        <f>IF(Table1[[#This Row],[Experience (Years)]]&gt;5,"experience","fresher")</f>
        <v>fresher</v>
      </c>
      <c r="W21" s="3">
        <v>4</v>
      </c>
      <c r="X21" s="3" t="str">
        <f>IF(Table1[[#This Row],[Experience (Years)]]&lt;=2,"JUNIOR",IF(Table1[[#This Row],[Experience (Years)]]&lt;=5,"MID LEVEL","SENIOR"))</f>
        <v>MID LEVEL</v>
      </c>
      <c r="Y21" s="3">
        <v>39000</v>
      </c>
      <c r="Z21" s="3" t="str">
        <f>IF(AND(Table1[[#This Row],[Experience (Years)]]&gt;5,Table1[[#This Row],[Status]]="ACTIVE"),"YES","NO")</f>
        <v>NO</v>
      </c>
      <c r="AA21" s="3" t="s">
        <v>24</v>
      </c>
      <c r="AE21">
        <v>18</v>
      </c>
      <c r="AF21" s="5" t="s">
        <v>268</v>
      </c>
      <c r="AG21" s="5"/>
      <c r="AH21" s="5"/>
      <c r="AI21" s="5"/>
      <c r="AJ21" s="5"/>
      <c r="AK21" s="5"/>
      <c r="AL21" s="5"/>
      <c r="AM21" s="5"/>
      <c r="AN21" s="5"/>
      <c r="AO21" s="5"/>
      <c r="AP21" s="8"/>
      <c r="AQ21" s="8"/>
      <c r="AR21" s="8"/>
      <c r="AS21" s="8"/>
    </row>
    <row r="22" spans="1:45" ht="18" x14ac:dyDescent="0.35">
      <c r="A22" t="str">
        <f>RIGHT(Table1[[#This Row],[Emp ID]],4)</f>
        <v>P021</v>
      </c>
      <c r="B22" s="3" t="s">
        <v>85</v>
      </c>
      <c r="C22" s="3">
        <f>FIND("A",Table1[[#This Row],[1.upper case]])</f>
        <v>2</v>
      </c>
      <c r="D22" s="3">
        <f>LEN(Table1[[#This Row],[7.TRIM]])</f>
        <v>5</v>
      </c>
      <c r="E22" s="3" t="str">
        <f>TRIM(Table1[[#This Row],[1.upper case]])</f>
        <v>RAHUL</v>
      </c>
      <c r="F22" s="3" t="str">
        <f>UPPER(Table1[[#This Row],[Employee Name]])</f>
        <v>RAHUL</v>
      </c>
      <c r="G22" s="3" t="s">
        <v>10</v>
      </c>
      <c r="H22" s="3" t="str">
        <f>_xlfn.CONCAT(Table1[[#This Row],[7.TRIM]],"-",Table1[[#This Row],[DepaRtmenT]])</f>
        <v>RAHUL-Finance</v>
      </c>
      <c r="I22" s="3" t="str">
        <f>PROPER(Table1[[#This Row],[DepaRtmenT]])</f>
        <v>Finance</v>
      </c>
      <c r="J22" s="3" t="str">
        <f>IF(OR(Table1[[#This Row],[DepaRtmenT]]="HR",Table1[[#This Row],[DepaRtmenT]]="FINANCE"),"YES","NO")</f>
        <v>YES</v>
      </c>
      <c r="K22" s="3" t="s">
        <v>27</v>
      </c>
      <c r="L22" s="3" t="str">
        <f>LEFT(Table1[[#This Row],[Designation]],5)</f>
        <v>Assoc</v>
      </c>
      <c r="M22" s="3" t="s">
        <v>28</v>
      </c>
      <c r="N22" s="3" t="s">
        <v>13</v>
      </c>
      <c r="O22" s="3" t="s">
        <v>14</v>
      </c>
      <c r="P22" s="3" t="str">
        <f>LEFT(Table1[[#This Row],[City]],3)</f>
        <v>Koc</v>
      </c>
      <c r="Q22" s="3">
        <f>MONTH(Table1[[#This Row],[2.DD-MMM-YYY]])</f>
        <v>12</v>
      </c>
      <c r="R22" s="3" t="str">
        <f>TEXT(Table1[[#This Row],[Joining Date]],"DD-MMM-YYYY")</f>
        <v>07-Dec-2019</v>
      </c>
      <c r="S22" s="3">
        <f ca="1">NETWORKDAYS(Table1[[#This Row],[Joining Date]],TODAY())</f>
        <v>1784</v>
      </c>
      <c r="T22" s="3">
        <f>YEAR(Table1[[#This Row],[Joining Date]])</f>
        <v>2019</v>
      </c>
      <c r="U22" s="3" t="s">
        <v>86</v>
      </c>
      <c r="V22" s="3" t="str">
        <f>IF(Table1[[#This Row],[Experience (Years)]]&gt;5,"experience","fresher")</f>
        <v>fresher</v>
      </c>
      <c r="W22" s="3">
        <v>5</v>
      </c>
      <c r="X22" s="3" t="str">
        <f>IF(Table1[[#This Row],[Experience (Years)]]&lt;=2,"JUNIOR",IF(Table1[[#This Row],[Experience (Years)]]&lt;=5,"MID LEVEL","SENIOR"))</f>
        <v>MID LEVEL</v>
      </c>
      <c r="Y22" s="3">
        <v>42500</v>
      </c>
      <c r="Z22" s="3" t="str">
        <f>IF(AND(Table1[[#This Row],[Experience (Years)]]&gt;5,Table1[[#This Row],[Status]]="ACTIVE"),"YES","NO")</f>
        <v>NO</v>
      </c>
      <c r="AA22" s="3" t="s">
        <v>30</v>
      </c>
      <c r="AE22">
        <v>19</v>
      </c>
      <c r="AF22" s="6" t="s">
        <v>269</v>
      </c>
      <c r="AG22" s="6"/>
      <c r="AH22" s="6"/>
      <c r="AI22" s="6"/>
      <c r="AJ22" s="6"/>
      <c r="AK22" s="6"/>
      <c r="AL22" s="6"/>
      <c r="AM22" s="6"/>
      <c r="AN22" s="6"/>
      <c r="AO22" s="6"/>
      <c r="AP22" s="8" t="s">
        <v>278</v>
      </c>
      <c r="AQ22" s="8"/>
      <c r="AR22" s="8"/>
      <c r="AS22" s="8"/>
    </row>
    <row r="23" spans="1:45" ht="18" x14ac:dyDescent="0.35">
      <c r="A23" t="str">
        <f>RIGHT(Table1[[#This Row],[Emp ID]],4)</f>
        <v>P022</v>
      </c>
      <c r="B23" s="3" t="s">
        <v>87</v>
      </c>
      <c r="C23" s="3">
        <f>FIND("A",Table1[[#This Row],[1.upper case]])</f>
        <v>5</v>
      </c>
      <c r="D23" s="3">
        <f>LEN(Table1[[#This Row],[7.TRIM]])</f>
        <v>5</v>
      </c>
      <c r="E23" s="3" t="str">
        <f>TRIM(Table1[[#This Row],[1.upper case]])</f>
        <v>PRIYA</v>
      </c>
      <c r="F23" s="3" t="str">
        <f>UPPER(Table1[[#This Row],[Employee Name]])</f>
        <v>PRIYA</v>
      </c>
      <c r="G23" s="3" t="s">
        <v>18</v>
      </c>
      <c r="H23" s="3" t="str">
        <f>_xlfn.CONCAT(Table1[[#This Row],[7.TRIM]],"-",Table1[[#This Row],[DepaRtmenT]])</f>
        <v>PRIYA-Sales</v>
      </c>
      <c r="I23" s="3" t="str">
        <f>PROPER(Table1[[#This Row],[DepaRtmenT]])</f>
        <v>Sales</v>
      </c>
      <c r="J23" s="3" t="str">
        <f>IF(OR(Table1[[#This Row],[DepaRtmenT]]="HR",Table1[[#This Row],[DepaRtmenT]]="FINANCE"),"YES","NO")</f>
        <v>NO</v>
      </c>
      <c r="K23" s="3" t="s">
        <v>33</v>
      </c>
      <c r="L23" s="3" t="str">
        <f>LEFT(Table1[[#This Row],[Designation]],5)</f>
        <v>Execu</v>
      </c>
      <c r="M23" s="3" t="s">
        <v>12</v>
      </c>
      <c r="N23" s="3" t="s">
        <v>21</v>
      </c>
      <c r="O23" s="3" t="s">
        <v>22</v>
      </c>
      <c r="P23" s="3" t="str">
        <f>LEFT(Table1[[#This Row],[City]],3)</f>
        <v>Tri</v>
      </c>
      <c r="Q23" s="3">
        <f>MONTH(Table1[[#This Row],[2.DD-MMM-YYY]])</f>
        <v>12</v>
      </c>
      <c r="R23" s="3" t="str">
        <f>TEXT(Table1[[#This Row],[Joining Date]],"DD-MMM-YYYY")</f>
        <v>24-Dec-2019</v>
      </c>
      <c r="S23" s="3">
        <f ca="1">NETWORKDAYS(Table1[[#This Row],[Joining Date]],TODAY())</f>
        <v>1773</v>
      </c>
      <c r="T23" s="3">
        <f>YEAR(Table1[[#This Row],[Joining Date]])</f>
        <v>2019</v>
      </c>
      <c r="U23" s="3" t="s">
        <v>88</v>
      </c>
      <c r="V23" s="3" t="str">
        <f>IF(Table1[[#This Row],[Experience (Years)]]&gt;5,"experience","fresher")</f>
        <v>experience</v>
      </c>
      <c r="W23" s="3">
        <v>6</v>
      </c>
      <c r="X23" s="3" t="str">
        <f>IF(Table1[[#This Row],[Experience (Years)]]&lt;=2,"JUNIOR",IF(Table1[[#This Row],[Experience (Years)]]&lt;=5,"MID LEVEL","SENIOR"))</f>
        <v>SENIOR</v>
      </c>
      <c r="Y23" s="3">
        <v>46000</v>
      </c>
      <c r="Z23" s="3" t="str">
        <f>IF(AND(Table1[[#This Row],[Experience (Years)]]&gt;5,Table1[[#This Row],[Status]]="ACTIVE"),"YES","NO")</f>
        <v>YES</v>
      </c>
      <c r="AA23" s="3" t="s">
        <v>16</v>
      </c>
      <c r="AE23">
        <v>20</v>
      </c>
      <c r="AF23" s="4" t="s">
        <v>259</v>
      </c>
      <c r="AG23" s="4"/>
      <c r="AH23" s="4"/>
      <c r="AI23" s="4"/>
      <c r="AJ23" s="4"/>
      <c r="AK23" s="4"/>
      <c r="AL23" s="4"/>
      <c r="AM23" s="4"/>
      <c r="AN23" s="4"/>
      <c r="AO23" s="4"/>
      <c r="AP23" s="8"/>
      <c r="AQ23" s="8"/>
      <c r="AR23" s="8"/>
      <c r="AS23" s="8"/>
    </row>
    <row r="24" spans="1:45" ht="18" x14ac:dyDescent="0.35">
      <c r="A24" t="str">
        <f>RIGHT(Table1[[#This Row],[Emp ID]],4)</f>
        <v>P023</v>
      </c>
      <c r="B24" s="3" t="s">
        <v>89</v>
      </c>
      <c r="C24" s="3">
        <f>FIND("A",Table1[[#This Row],[1.upper case]])</f>
        <v>1</v>
      </c>
      <c r="D24" s="3">
        <f>LEN(Table1[[#This Row],[7.TRIM]])</f>
        <v>5</v>
      </c>
      <c r="E24" s="3" t="str">
        <f>TRIM(Table1[[#This Row],[1.upper case]])</f>
        <v>ARJUN</v>
      </c>
      <c r="F24" s="3" t="str">
        <f>UPPER(Table1[[#This Row],[Employee Name]])</f>
        <v>ARJUN</v>
      </c>
      <c r="G24" s="3" t="s">
        <v>26</v>
      </c>
      <c r="H24" s="3" t="str">
        <f>_xlfn.CONCAT(Table1[[#This Row],[7.TRIM]],"-",Table1[[#This Row],[DepaRtmenT]])</f>
        <v>ARJUN-Marketing</v>
      </c>
      <c r="I24" s="3" t="str">
        <f>PROPER(Table1[[#This Row],[DepaRtmenT]])</f>
        <v>Marketing</v>
      </c>
      <c r="J24" s="3" t="str">
        <f>IF(OR(Table1[[#This Row],[DepaRtmenT]]="HR",Table1[[#This Row],[DepaRtmenT]]="FINANCE"),"YES","NO")</f>
        <v>NO</v>
      </c>
      <c r="K24" s="3" t="s">
        <v>37</v>
      </c>
      <c r="L24" s="3" t="str">
        <f>LEFT(Table1[[#This Row],[Designation]],5)</f>
        <v>Devel</v>
      </c>
      <c r="M24" s="3" t="s">
        <v>20</v>
      </c>
      <c r="N24" s="3" t="s">
        <v>13</v>
      </c>
      <c r="O24" s="3" t="s">
        <v>14</v>
      </c>
      <c r="P24" s="3" t="str">
        <f>LEFT(Table1[[#This Row],[City]],3)</f>
        <v>Koc</v>
      </c>
      <c r="Q24" s="3">
        <f>MONTH(Table1[[#This Row],[2.DD-MMM-YYY]])</f>
        <v>1</v>
      </c>
      <c r="R24" s="3" t="str">
        <f>TEXT(Table1[[#This Row],[Joining Date]],"DD-MMM-YYYY")</f>
        <v>10-Jan-2020</v>
      </c>
      <c r="S24" s="3">
        <f ca="1">NETWORKDAYS(Table1[[#This Row],[Joining Date]],TODAY())</f>
        <v>1760</v>
      </c>
      <c r="T24" s="3">
        <f>YEAR(Table1[[#This Row],[Joining Date]])</f>
        <v>2020</v>
      </c>
      <c r="U24" s="3" t="s">
        <v>90</v>
      </c>
      <c r="V24" s="3" t="str">
        <f>IF(Table1[[#This Row],[Experience (Years)]]&gt;5,"experience","fresher")</f>
        <v>experience</v>
      </c>
      <c r="W24" s="3">
        <v>7</v>
      </c>
      <c r="X24" s="3" t="str">
        <f>IF(Table1[[#This Row],[Experience (Years)]]&lt;=2,"JUNIOR",IF(Table1[[#This Row],[Experience (Years)]]&lt;=5,"MID LEVEL","SENIOR"))</f>
        <v>SENIOR</v>
      </c>
      <c r="Y24" s="3">
        <v>49500</v>
      </c>
      <c r="Z24" s="3" t="str">
        <f>IF(AND(Table1[[#This Row],[Experience (Years)]]&gt;5,Table1[[#This Row],[Status]]="ACTIVE"),"YES","NO")</f>
        <v>NO</v>
      </c>
      <c r="AA24" s="3" t="s">
        <v>24</v>
      </c>
      <c r="AE24">
        <v>21</v>
      </c>
      <c r="AF24" s="7" t="s">
        <v>261</v>
      </c>
      <c r="AG24" s="7"/>
      <c r="AH24" s="7"/>
      <c r="AI24" s="7"/>
      <c r="AJ24" s="7"/>
      <c r="AK24" s="7"/>
      <c r="AL24" s="7"/>
      <c r="AM24" s="7"/>
      <c r="AN24" s="7"/>
      <c r="AO24" s="7"/>
      <c r="AP24" s="8" t="s">
        <v>276</v>
      </c>
      <c r="AQ24" s="8"/>
      <c r="AR24" s="8"/>
      <c r="AS24" s="8"/>
    </row>
    <row r="25" spans="1:45" ht="18" x14ac:dyDescent="0.35">
      <c r="A25" t="str">
        <f>RIGHT(Table1[[#This Row],[Emp ID]],4)</f>
        <v>P024</v>
      </c>
      <c r="B25" s="3" t="s">
        <v>91</v>
      </c>
      <c r="C25" s="3">
        <f>FIND("A",Table1[[#This Row],[1.upper case]])</f>
        <v>1</v>
      </c>
      <c r="D25" s="3">
        <f>LEN(Table1[[#This Row],[7.TRIM]])</f>
        <v>6</v>
      </c>
      <c r="E25" s="3" t="str">
        <f>TRIM(Table1[[#This Row],[1.upper case]])</f>
        <v>ANJALI</v>
      </c>
      <c r="F25" s="3" t="str">
        <f>UPPER(Table1[[#This Row],[Employee Name]])</f>
        <v>ANJALI</v>
      </c>
      <c r="G25" s="3" t="s">
        <v>32</v>
      </c>
      <c r="H25" s="3" t="str">
        <f>_xlfn.CONCAT(Table1[[#This Row],[7.TRIM]],"-",Table1[[#This Row],[DepaRtmenT]])</f>
        <v>ANJALI-Operations</v>
      </c>
      <c r="I25" s="3" t="str">
        <f>PROPER(Table1[[#This Row],[DepaRtmenT]])</f>
        <v>Operations</v>
      </c>
      <c r="J25" s="3" t="str">
        <f>IF(OR(Table1[[#This Row],[DepaRtmenT]]="HR",Table1[[#This Row],[DepaRtmenT]]="FINANCE"),"YES","NO")</f>
        <v>NO</v>
      </c>
      <c r="K25" s="3" t="s">
        <v>41</v>
      </c>
      <c r="L25" s="3" t="str">
        <f>LEFT(Table1[[#This Row],[Designation]],5)</f>
        <v>Assoc</v>
      </c>
      <c r="M25" s="3" t="s">
        <v>28</v>
      </c>
      <c r="N25" s="3" t="s">
        <v>21</v>
      </c>
      <c r="O25" s="3" t="s">
        <v>22</v>
      </c>
      <c r="P25" s="3" t="str">
        <f>LEFT(Table1[[#This Row],[City]],3)</f>
        <v>Tri</v>
      </c>
      <c r="Q25" s="3">
        <f>MONTH(Table1[[#This Row],[2.DD-MMM-YYY]])</f>
        <v>1</v>
      </c>
      <c r="R25" s="3" t="str">
        <f>TEXT(Table1[[#This Row],[Joining Date]],"DD-MMM-YYYY")</f>
        <v>27-Jan-2020</v>
      </c>
      <c r="S25" s="3">
        <f ca="1">NETWORKDAYS(Table1[[#This Row],[Joining Date]],TODAY())</f>
        <v>1749</v>
      </c>
      <c r="T25" s="3">
        <f>YEAR(Table1[[#This Row],[Joining Date]])</f>
        <v>2020</v>
      </c>
      <c r="U25" s="3" t="s">
        <v>92</v>
      </c>
      <c r="V25" s="3" t="str">
        <f>IF(Table1[[#This Row],[Experience (Years)]]&gt;5,"experience","fresher")</f>
        <v>experience</v>
      </c>
      <c r="W25" s="3">
        <v>8</v>
      </c>
      <c r="X25" s="3" t="str">
        <f>IF(Table1[[#This Row],[Experience (Years)]]&lt;=2,"JUNIOR",IF(Table1[[#This Row],[Experience (Years)]]&lt;=5,"MID LEVEL","SENIOR"))</f>
        <v>SENIOR</v>
      </c>
      <c r="Y25" s="3">
        <v>53000</v>
      </c>
      <c r="Z25" s="3" t="str">
        <f>IF(AND(Table1[[#This Row],[Experience (Years)]]&gt;5,Table1[[#This Row],[Status]]="ACTIVE"),"YES","NO")</f>
        <v>NO</v>
      </c>
      <c r="AA25" s="3" t="s">
        <v>30</v>
      </c>
      <c r="AE25">
        <v>22</v>
      </c>
      <c r="AF25" s="7" t="s">
        <v>263</v>
      </c>
      <c r="AG25" s="7"/>
      <c r="AH25" s="7"/>
      <c r="AI25" s="7"/>
      <c r="AJ25" s="7"/>
      <c r="AK25" s="7"/>
      <c r="AL25" s="7"/>
      <c r="AM25" s="7"/>
      <c r="AN25" s="7"/>
      <c r="AO25" s="7"/>
      <c r="AP25" s="8">
        <f>SUMIF(Table1[DepaRtmenT],K26,Table1[Salary])</f>
        <v>761000</v>
      </c>
      <c r="AQ25" s="8"/>
      <c r="AR25" s="8"/>
      <c r="AS25" s="8"/>
    </row>
    <row r="26" spans="1:45" ht="18" x14ac:dyDescent="0.35">
      <c r="A26" t="str">
        <f>RIGHT(Table1[[#This Row],[Emp ID]],4)</f>
        <v>P025</v>
      </c>
      <c r="B26" s="3" t="s">
        <v>93</v>
      </c>
      <c r="C26" s="3">
        <f>FIND("A",Table1[[#This Row],[1.upper case]])</f>
        <v>1</v>
      </c>
      <c r="D26" s="3">
        <f>LEN(Table1[[#This Row],[7.TRIM]])</f>
        <v>5</v>
      </c>
      <c r="E26" s="3" t="str">
        <f>TRIM(Table1[[#This Row],[1.upper case]])</f>
        <v>AKHIL</v>
      </c>
      <c r="F26" s="3" t="str">
        <f>UPPER(Table1[[#This Row],[Employee Name]])</f>
        <v>AKHIL</v>
      </c>
      <c r="G26" s="3" t="s">
        <v>36</v>
      </c>
      <c r="H26" s="3" t="str">
        <f>_xlfn.CONCAT(Table1[[#This Row],[7.TRIM]],"-",Table1[[#This Row],[DepaRtmenT]])</f>
        <v>AKHIL-HR</v>
      </c>
      <c r="I26" s="3" t="str">
        <f>PROPER(Table1[[#This Row],[DepaRtmenT]])</f>
        <v>Hr</v>
      </c>
      <c r="J26" s="3" t="str">
        <f>IF(OR(Table1[[#This Row],[DepaRtmenT]]="HR",Table1[[#This Row],[DepaRtmenT]]="FINANCE"),"YES","NO")</f>
        <v>YES</v>
      </c>
      <c r="K26" s="3" t="s">
        <v>11</v>
      </c>
      <c r="L26" s="3" t="str">
        <f>LEFT(Table1[[#This Row],[Designation]],5)</f>
        <v>Execu</v>
      </c>
      <c r="M26" s="3" t="s">
        <v>12</v>
      </c>
      <c r="N26" s="3" t="s">
        <v>13</v>
      </c>
      <c r="O26" s="3" t="s">
        <v>14</v>
      </c>
      <c r="P26" s="3" t="str">
        <f>LEFT(Table1[[#This Row],[City]],3)</f>
        <v>Koc</v>
      </c>
      <c r="Q26" s="3">
        <f>MONTH(Table1[[#This Row],[2.DD-MMM-YYY]])</f>
        <v>2</v>
      </c>
      <c r="R26" s="3" t="str">
        <f>TEXT(Table1[[#This Row],[Joining Date]],"DD-MMM-YYYY")</f>
        <v>13-Feb-2020</v>
      </c>
      <c r="S26" s="3">
        <f ca="1">NETWORKDAYS(Table1[[#This Row],[Joining Date]],TODAY())</f>
        <v>1736</v>
      </c>
      <c r="T26" s="3">
        <f>YEAR(Table1[[#This Row],[Joining Date]])</f>
        <v>2020</v>
      </c>
      <c r="U26" s="3" t="s">
        <v>94</v>
      </c>
      <c r="V26" s="3" t="str">
        <f>IF(Table1[[#This Row],[Experience (Years)]]&gt;5,"experience","fresher")</f>
        <v>fresher</v>
      </c>
      <c r="W26" s="3">
        <v>1</v>
      </c>
      <c r="X26" s="3" t="str">
        <f>IF(Table1[[#This Row],[Experience (Years)]]&lt;=2,"JUNIOR",IF(Table1[[#This Row],[Experience (Years)]]&lt;=5,"MID LEVEL","SENIOR"))</f>
        <v>JUNIOR</v>
      </c>
      <c r="Y26" s="3">
        <v>56500</v>
      </c>
      <c r="Z26" s="3" t="str">
        <f>IF(AND(Table1[[#This Row],[Experience (Years)]]&gt;5,Table1[[#This Row],[Status]]="ACTIVE"),"YES","NO")</f>
        <v>NO</v>
      </c>
      <c r="AA26" s="3" t="s">
        <v>16</v>
      </c>
      <c r="AE26">
        <v>23</v>
      </c>
      <c r="AF26" s="4" t="s">
        <v>262</v>
      </c>
      <c r="AG26" s="4"/>
      <c r="AH26" s="4"/>
      <c r="AI26" s="4"/>
      <c r="AJ26" s="4"/>
      <c r="AK26" s="4"/>
      <c r="AL26" s="4"/>
      <c r="AM26" s="4"/>
      <c r="AN26" s="4"/>
      <c r="AO26" s="4"/>
      <c r="AP26" s="8">
        <f>COUNTIF(K2:K102,K5)</f>
        <v>17</v>
      </c>
      <c r="AQ26" s="8"/>
      <c r="AR26" s="8"/>
      <c r="AS26" s="8"/>
    </row>
    <row r="27" spans="1:45" ht="18" x14ac:dyDescent="0.35">
      <c r="A27" t="str">
        <f>RIGHT(Table1[[#This Row],[Emp ID]],4)</f>
        <v>P026</v>
      </c>
      <c r="B27" s="3" t="s">
        <v>95</v>
      </c>
      <c r="C27" s="3">
        <f>FIND("A",Table1[[#This Row],[1.upper case]])</f>
        <v>5</v>
      </c>
      <c r="D27" s="3">
        <f>LEN(Table1[[#This Row],[7.TRIM]])</f>
        <v>5</v>
      </c>
      <c r="E27" s="3" t="str">
        <f>TRIM(Table1[[#This Row],[1.upper case]])</f>
        <v>MEERA</v>
      </c>
      <c r="F27" s="3" t="str">
        <f>UPPER(Table1[[#This Row],[Employee Name]])</f>
        <v>MEERA</v>
      </c>
      <c r="G27" s="3" t="s">
        <v>40</v>
      </c>
      <c r="H27" s="3" t="str">
        <f>_xlfn.CONCAT(Table1[[#This Row],[7.TRIM]],"-",Table1[[#This Row],[DepaRtmenT]])</f>
        <v>MEERA-IT</v>
      </c>
      <c r="I27" s="3" t="str">
        <f>PROPER(Table1[[#This Row],[DepaRtmenT]])</f>
        <v>It</v>
      </c>
      <c r="J27" s="3" t="str">
        <f>IF(OR(Table1[[#This Row],[DepaRtmenT]]="HR",Table1[[#This Row],[DepaRtmenT]]="FINANCE"),"YES","NO")</f>
        <v>NO</v>
      </c>
      <c r="K27" s="3" t="s">
        <v>19</v>
      </c>
      <c r="L27" s="3" t="str">
        <f>LEFT(Table1[[#This Row],[Designation]],5)</f>
        <v>Devel</v>
      </c>
      <c r="M27" s="3" t="s">
        <v>20</v>
      </c>
      <c r="N27" s="3" t="s">
        <v>21</v>
      </c>
      <c r="O27" s="3" t="s">
        <v>22</v>
      </c>
      <c r="P27" s="3" t="str">
        <f>LEFT(Table1[[#This Row],[City]],3)</f>
        <v>Tri</v>
      </c>
      <c r="Q27" s="3">
        <f>MONTH(Table1[[#This Row],[2.DD-MMM-YYY]])</f>
        <v>3</v>
      </c>
      <c r="R27" s="3" t="str">
        <f>TEXT(Table1[[#This Row],[Joining Date]],"DD-MMM-YYYY")</f>
        <v>01-Mar-2020</v>
      </c>
      <c r="S27" s="3">
        <f ca="1">NETWORKDAYS(Table1[[#This Row],[Joining Date]],TODAY())</f>
        <v>1724</v>
      </c>
      <c r="T27" s="3">
        <f>YEAR(Table1[[#This Row],[Joining Date]])</f>
        <v>2020</v>
      </c>
      <c r="U27" s="3" t="s">
        <v>96</v>
      </c>
      <c r="V27" s="3" t="str">
        <f>IF(Table1[[#This Row],[Experience (Years)]]&gt;5,"experience","fresher")</f>
        <v>fresher</v>
      </c>
      <c r="W27" s="3">
        <v>2</v>
      </c>
      <c r="X27" s="3" t="str">
        <f>IF(Table1[[#This Row],[Experience (Years)]]&lt;=2,"JUNIOR",IF(Table1[[#This Row],[Experience (Years)]]&lt;=5,"MID LEVEL","SENIOR"))</f>
        <v>JUNIOR</v>
      </c>
      <c r="Y27" s="3">
        <v>60000</v>
      </c>
      <c r="Z27" s="3" t="str">
        <f>IF(AND(Table1[[#This Row],[Experience (Years)]]&gt;5,Table1[[#This Row],[Status]]="ACTIVE"),"YES","NO")</f>
        <v>NO</v>
      </c>
      <c r="AA27" s="3" t="s">
        <v>24</v>
      </c>
      <c r="AE27">
        <v>24</v>
      </c>
      <c r="AF27" s="7" t="s">
        <v>265</v>
      </c>
      <c r="AG27" s="7"/>
      <c r="AH27" s="7"/>
      <c r="AI27" s="7"/>
      <c r="AJ27" s="7"/>
      <c r="AK27" s="7"/>
      <c r="AL27" s="7"/>
      <c r="AM27" s="7"/>
      <c r="AN27" s="7"/>
      <c r="AO27" s="7"/>
      <c r="AP27" s="8">
        <f>AVERAGEIF(Table1[DepaRtmenT],K99,Table1[Salary])</f>
        <v>48264.705882352944</v>
      </c>
      <c r="AQ27" s="8"/>
      <c r="AR27" s="8"/>
      <c r="AS27" s="8"/>
    </row>
    <row r="28" spans="1:45" ht="18" x14ac:dyDescent="0.35">
      <c r="A28" t="str">
        <f>RIGHT(Table1[[#This Row],[Emp ID]],4)</f>
        <v>P027</v>
      </c>
      <c r="B28" s="3" t="s">
        <v>97</v>
      </c>
      <c r="C28" s="3" t="e">
        <f>FIND("A",Table1[[#This Row],[1.upper case]])</f>
        <v>#VALUE!</v>
      </c>
      <c r="D28" s="3">
        <f>LEN(Table1[[#This Row],[7.TRIM]])</f>
        <v>6</v>
      </c>
      <c r="E28" s="3" t="str">
        <f>TRIM(Table1[[#This Row],[1.upper case]])</f>
        <v>VISHNU</v>
      </c>
      <c r="F28" s="3" t="str">
        <f>UPPER(Table1[[#This Row],[Employee Name]])</f>
        <v>VISHNU</v>
      </c>
      <c r="G28" s="3" t="s">
        <v>44</v>
      </c>
      <c r="H28" s="3" t="str">
        <f>_xlfn.CONCAT(Table1[[#This Row],[7.TRIM]],"-",Table1[[#This Row],[DepaRtmenT]])</f>
        <v>VISHNU-Finance</v>
      </c>
      <c r="I28" s="3" t="str">
        <f>PROPER(Table1[[#This Row],[DepaRtmenT]])</f>
        <v>Finance</v>
      </c>
      <c r="J28" s="3" t="str">
        <f>IF(OR(Table1[[#This Row],[DepaRtmenT]]="HR",Table1[[#This Row],[DepaRtmenT]]="FINANCE"),"YES","NO")</f>
        <v>YES</v>
      </c>
      <c r="K28" s="3" t="s">
        <v>27</v>
      </c>
      <c r="L28" s="3" t="str">
        <f>LEFT(Table1[[#This Row],[Designation]],5)</f>
        <v>Assoc</v>
      </c>
      <c r="M28" s="3" t="s">
        <v>28</v>
      </c>
      <c r="N28" s="3" t="s">
        <v>13</v>
      </c>
      <c r="O28" s="3" t="s">
        <v>14</v>
      </c>
      <c r="P28" s="3" t="str">
        <f>LEFT(Table1[[#This Row],[City]],3)</f>
        <v>Koc</v>
      </c>
      <c r="Q28" s="3">
        <f>MONTH(Table1[[#This Row],[2.DD-MMM-YYY]])</f>
        <v>3</v>
      </c>
      <c r="R28" s="3" t="str">
        <f>TEXT(Table1[[#This Row],[Joining Date]],"DD-MMM-YYYY")</f>
        <v>18-Mar-2020</v>
      </c>
      <c r="S28" s="3">
        <f ca="1">NETWORKDAYS(Table1[[#This Row],[Joining Date]],TODAY())</f>
        <v>1712</v>
      </c>
      <c r="T28" s="3">
        <f>YEAR(Table1[[#This Row],[Joining Date]])</f>
        <v>2020</v>
      </c>
      <c r="U28" s="3" t="s">
        <v>98</v>
      </c>
      <c r="V28" s="3" t="str">
        <f>IF(Table1[[#This Row],[Experience (Years)]]&gt;5,"experience","fresher")</f>
        <v>fresher</v>
      </c>
      <c r="W28" s="3">
        <v>3</v>
      </c>
      <c r="X28" s="3" t="str">
        <f>IF(Table1[[#This Row],[Experience (Years)]]&lt;=2,"JUNIOR",IF(Table1[[#This Row],[Experience (Years)]]&lt;=5,"MID LEVEL","SENIOR"))</f>
        <v>MID LEVEL</v>
      </c>
      <c r="Y28" s="3">
        <v>63500</v>
      </c>
      <c r="Z28" s="3" t="str">
        <f>IF(AND(Table1[[#This Row],[Experience (Years)]]&gt;5,Table1[[#This Row],[Status]]="ACTIVE"),"YES","NO")</f>
        <v>NO</v>
      </c>
      <c r="AA28" s="3" t="s">
        <v>30</v>
      </c>
      <c r="AE28">
        <v>25</v>
      </c>
      <c r="AF28" s="4" t="s">
        <v>264</v>
      </c>
      <c r="AG28" s="4"/>
      <c r="AH28" s="4"/>
      <c r="AI28" s="4"/>
      <c r="AJ28" s="4"/>
      <c r="AK28" s="4"/>
      <c r="AL28" s="4"/>
      <c r="AM28" s="4"/>
      <c r="AN28" s="4"/>
      <c r="AO28" s="4"/>
      <c r="AP28" s="8"/>
      <c r="AQ28" s="8"/>
      <c r="AR28" s="8"/>
      <c r="AS28" s="8"/>
    </row>
    <row r="29" spans="1:45" ht="18" x14ac:dyDescent="0.35">
      <c r="A29" t="str">
        <f>RIGHT(Table1[[#This Row],[Emp ID]],4)</f>
        <v>P028</v>
      </c>
      <c r="B29" s="3" t="s">
        <v>99</v>
      </c>
      <c r="C29" s="3">
        <f>FIND("A",Table1[[#This Row],[1.upper case]])</f>
        <v>4</v>
      </c>
      <c r="D29" s="3">
        <f>LEN(Table1[[#This Row],[7.TRIM]])</f>
        <v>4</v>
      </c>
      <c r="E29" s="3" t="str">
        <f>TRIM(Table1[[#This Row],[1.upper case]])</f>
        <v>NEHA</v>
      </c>
      <c r="F29" s="3" t="str">
        <f>UPPER(Table1[[#This Row],[Employee Name]])</f>
        <v>NEHA</v>
      </c>
      <c r="G29" s="3" t="s">
        <v>47</v>
      </c>
      <c r="H29" s="3" t="str">
        <f>_xlfn.CONCAT(Table1[[#This Row],[7.TRIM]],"-",Table1[[#This Row],[DepaRtmenT]])</f>
        <v>NEHA-Sales</v>
      </c>
      <c r="I29" s="3" t="str">
        <f>PROPER(Table1[[#This Row],[DepaRtmenT]])</f>
        <v>Sales</v>
      </c>
      <c r="J29" s="3" t="str">
        <f>IF(OR(Table1[[#This Row],[DepaRtmenT]]="HR",Table1[[#This Row],[DepaRtmenT]]="FINANCE"),"YES","NO")</f>
        <v>NO</v>
      </c>
      <c r="K29" s="3" t="s">
        <v>33</v>
      </c>
      <c r="L29" s="3" t="str">
        <f>LEFT(Table1[[#This Row],[Designation]],5)</f>
        <v>Execu</v>
      </c>
      <c r="M29" s="3" t="s">
        <v>12</v>
      </c>
      <c r="N29" s="3" t="s">
        <v>21</v>
      </c>
      <c r="O29" s="3" t="s">
        <v>22</v>
      </c>
      <c r="P29" s="3" t="str">
        <f>LEFT(Table1[[#This Row],[City]],3)</f>
        <v>Tri</v>
      </c>
      <c r="Q29" s="3">
        <f>MONTH(Table1[[#This Row],[2.DD-MMM-YYY]])</f>
        <v>4</v>
      </c>
      <c r="R29" s="3" t="str">
        <f>TEXT(Table1[[#This Row],[Joining Date]],"DD-MMM-YYYY")</f>
        <v>04-Apr-2020</v>
      </c>
      <c r="S29" s="3">
        <f ca="1">NETWORKDAYS(Table1[[#This Row],[Joining Date]],TODAY())</f>
        <v>1699</v>
      </c>
      <c r="T29" s="3">
        <f>YEAR(Table1[[#This Row],[Joining Date]])</f>
        <v>2020</v>
      </c>
      <c r="U29" s="3" t="s">
        <v>100</v>
      </c>
      <c r="V29" s="3" t="str">
        <f>IF(Table1[[#This Row],[Experience (Years)]]&gt;5,"experience","fresher")</f>
        <v>fresher</v>
      </c>
      <c r="W29" s="3">
        <v>4</v>
      </c>
      <c r="X29" s="3" t="str">
        <f>IF(Table1[[#This Row],[Experience (Years)]]&lt;=2,"JUNIOR",IF(Table1[[#This Row],[Experience (Years)]]&lt;=5,"MID LEVEL","SENIOR"))</f>
        <v>MID LEVEL</v>
      </c>
      <c r="Y29" s="3">
        <v>67000</v>
      </c>
      <c r="Z29" s="3" t="str">
        <f>IF(AND(Table1[[#This Row],[Experience (Years)]]&gt;5,Table1[[#This Row],[Status]]="ACTIVE"),"YES","NO")</f>
        <v>NO</v>
      </c>
      <c r="AA29" s="3" t="s">
        <v>16</v>
      </c>
      <c r="AF29" s="2"/>
    </row>
    <row r="30" spans="1:45" ht="18" x14ac:dyDescent="0.35">
      <c r="A30" t="str">
        <f>RIGHT(Table1[[#This Row],[Emp ID]],4)</f>
        <v>P029</v>
      </c>
      <c r="B30" s="3" t="s">
        <v>101</v>
      </c>
      <c r="C30" s="3">
        <f>FIND("A",Table1[[#This Row],[1.upper case]])</f>
        <v>4</v>
      </c>
      <c r="D30" s="3">
        <f>LEN(Table1[[#This Row],[7.TRIM]])</f>
        <v>5</v>
      </c>
      <c r="E30" s="3" t="str">
        <f>TRIM(Table1[[#This Row],[1.upper case]])</f>
        <v>KIRAN</v>
      </c>
      <c r="F30" s="3" t="str">
        <f>UPPER(Table1[[#This Row],[Employee Name]])</f>
        <v>KIRAN</v>
      </c>
      <c r="G30" s="3" t="s">
        <v>50</v>
      </c>
      <c r="H30" s="3" t="str">
        <f>_xlfn.CONCAT(Table1[[#This Row],[7.TRIM]],"-",Table1[[#This Row],[DepaRtmenT]])</f>
        <v>KIRAN-Marketing</v>
      </c>
      <c r="I30" s="3" t="str">
        <f>PROPER(Table1[[#This Row],[DepaRtmenT]])</f>
        <v>Marketing</v>
      </c>
      <c r="J30" s="3" t="str">
        <f>IF(OR(Table1[[#This Row],[DepaRtmenT]]="HR",Table1[[#This Row],[DepaRtmenT]]="FINANCE"),"YES","NO")</f>
        <v>NO</v>
      </c>
      <c r="K30" s="3" t="s">
        <v>37</v>
      </c>
      <c r="L30" s="3" t="str">
        <f>LEFT(Table1[[#This Row],[Designation]],5)</f>
        <v>Devel</v>
      </c>
      <c r="M30" s="3" t="s">
        <v>20</v>
      </c>
      <c r="N30" s="3" t="s">
        <v>13</v>
      </c>
      <c r="O30" s="3" t="s">
        <v>14</v>
      </c>
      <c r="P30" s="3" t="str">
        <f>LEFT(Table1[[#This Row],[City]],3)</f>
        <v>Koc</v>
      </c>
      <c r="Q30" s="3">
        <f>MONTH(Table1[[#This Row],[2.DD-MMM-YYY]])</f>
        <v>4</v>
      </c>
      <c r="R30" s="3" t="str">
        <f>TEXT(Table1[[#This Row],[Joining Date]],"DD-MMM-YYYY")</f>
        <v>21-Apr-2020</v>
      </c>
      <c r="S30" s="3">
        <f ca="1">NETWORKDAYS(Table1[[#This Row],[Joining Date]],TODAY())</f>
        <v>1688</v>
      </c>
      <c r="T30" s="3">
        <f>YEAR(Table1[[#This Row],[Joining Date]])</f>
        <v>2020</v>
      </c>
      <c r="U30" s="3" t="s">
        <v>102</v>
      </c>
      <c r="V30" s="3" t="str">
        <f>IF(Table1[[#This Row],[Experience (Years)]]&gt;5,"experience","fresher")</f>
        <v>fresher</v>
      </c>
      <c r="W30" s="3">
        <v>5</v>
      </c>
      <c r="X30" s="3" t="str">
        <f>IF(Table1[[#This Row],[Experience (Years)]]&lt;=2,"JUNIOR",IF(Table1[[#This Row],[Experience (Years)]]&lt;=5,"MID LEVEL","SENIOR"))</f>
        <v>MID LEVEL</v>
      </c>
      <c r="Y30" s="3">
        <v>70500</v>
      </c>
      <c r="Z30" s="3" t="str">
        <f>IF(AND(Table1[[#This Row],[Experience (Years)]]&gt;5,Table1[[#This Row],[Status]]="ACTIVE"),"YES","NO")</f>
        <v>NO</v>
      </c>
      <c r="AA30" s="3" t="s">
        <v>24</v>
      </c>
    </row>
    <row r="31" spans="1:45" ht="18" x14ac:dyDescent="0.35">
      <c r="A31" t="str">
        <f>RIGHT(Table1[[#This Row],[Emp ID]],4)</f>
        <v>P030</v>
      </c>
      <c r="B31" s="3" t="s">
        <v>103</v>
      </c>
      <c r="C31" s="3">
        <f>FIND("A",Table1[[#This Row],[1.upper case]])</f>
        <v>5</v>
      </c>
      <c r="D31" s="3">
        <f>LEN(Table1[[#This Row],[7.TRIM]])</f>
        <v>5</v>
      </c>
      <c r="E31" s="3" t="str">
        <f>TRIM(Table1[[#This Row],[1.upper case]])</f>
        <v>SNEHA</v>
      </c>
      <c r="F31" s="3" t="str">
        <f>UPPER(Table1[[#This Row],[Employee Name]])</f>
        <v>SNEHA</v>
      </c>
      <c r="G31" s="3" t="s">
        <v>53</v>
      </c>
      <c r="H31" s="3" t="str">
        <f>_xlfn.CONCAT(Table1[[#This Row],[7.TRIM]],"-",Table1[[#This Row],[DepaRtmenT]])</f>
        <v>SNEHA-Operations</v>
      </c>
      <c r="I31" s="3" t="str">
        <f>PROPER(Table1[[#This Row],[DepaRtmenT]])</f>
        <v>Operations</v>
      </c>
      <c r="J31" s="3" t="str">
        <f>IF(OR(Table1[[#This Row],[DepaRtmenT]]="HR",Table1[[#This Row],[DepaRtmenT]]="FINANCE"),"YES","NO")</f>
        <v>NO</v>
      </c>
      <c r="K31" s="3" t="s">
        <v>41</v>
      </c>
      <c r="L31" s="3" t="str">
        <f>LEFT(Table1[[#This Row],[Designation]],5)</f>
        <v>Assoc</v>
      </c>
      <c r="M31" s="3" t="s">
        <v>28</v>
      </c>
      <c r="N31" s="3" t="s">
        <v>21</v>
      </c>
      <c r="O31" s="3" t="s">
        <v>22</v>
      </c>
      <c r="P31" s="3" t="str">
        <f>LEFT(Table1[[#This Row],[City]],3)</f>
        <v>Tri</v>
      </c>
      <c r="Q31" s="3">
        <f>MONTH(Table1[[#This Row],[2.DD-MMM-YYY]])</f>
        <v>5</v>
      </c>
      <c r="R31" s="3" t="str">
        <f>TEXT(Table1[[#This Row],[Joining Date]],"DD-MMM-YYYY")</f>
        <v>08-May-2020</v>
      </c>
      <c r="S31" s="3">
        <f ca="1">NETWORKDAYS(Table1[[#This Row],[Joining Date]],TODAY())</f>
        <v>1675</v>
      </c>
      <c r="T31" s="3">
        <f>YEAR(Table1[[#This Row],[Joining Date]])</f>
        <v>2020</v>
      </c>
      <c r="U31" s="3" t="s">
        <v>104</v>
      </c>
      <c r="V31" s="3" t="str">
        <f>IF(Table1[[#This Row],[Experience (Years)]]&gt;5,"experience","fresher")</f>
        <v>experience</v>
      </c>
      <c r="W31" s="3">
        <v>6</v>
      </c>
      <c r="X31" s="3" t="str">
        <f>IF(Table1[[#This Row],[Experience (Years)]]&lt;=2,"JUNIOR",IF(Table1[[#This Row],[Experience (Years)]]&lt;=5,"MID LEVEL","SENIOR"))</f>
        <v>SENIOR</v>
      </c>
      <c r="Y31" s="3">
        <v>74000</v>
      </c>
      <c r="Z31" s="3" t="str">
        <f>IF(AND(Table1[[#This Row],[Experience (Years)]]&gt;5,Table1[[#This Row],[Status]]="ACTIVE"),"YES","NO")</f>
        <v>NO</v>
      </c>
      <c r="AA31" s="3" t="s">
        <v>30</v>
      </c>
    </row>
    <row r="32" spans="1:45" ht="18" x14ac:dyDescent="0.35">
      <c r="A32" t="str">
        <f>RIGHT(Table1[[#This Row],[Emp ID]],4)</f>
        <v>P031</v>
      </c>
      <c r="B32" s="3" t="s">
        <v>105</v>
      </c>
      <c r="C32" s="3" t="e">
        <f>FIND("A",Table1[[#This Row],[1.upper case]])</f>
        <v>#VALUE!</v>
      </c>
      <c r="D32" s="3">
        <f>LEN(Table1[[#This Row],[7.TRIM]])</f>
        <v>5</v>
      </c>
      <c r="E32" s="3" t="str">
        <f>TRIM(Table1[[#This Row],[1.upper case]])</f>
        <v>ROHIT</v>
      </c>
      <c r="F32" s="3" t="str">
        <f>UPPER(Table1[[#This Row],[Employee Name]])</f>
        <v>ROHIT</v>
      </c>
      <c r="G32" s="3" t="s">
        <v>56</v>
      </c>
      <c r="H32" s="3" t="str">
        <f>_xlfn.CONCAT(Table1[[#This Row],[7.TRIM]],"-",Table1[[#This Row],[DepaRtmenT]])</f>
        <v>ROHIT-HR</v>
      </c>
      <c r="I32" s="3" t="str">
        <f>PROPER(Table1[[#This Row],[DepaRtmenT]])</f>
        <v>Hr</v>
      </c>
      <c r="J32" s="3" t="str">
        <f>IF(OR(Table1[[#This Row],[DepaRtmenT]]="HR",Table1[[#This Row],[DepaRtmenT]]="FINANCE"),"YES","NO")</f>
        <v>YES</v>
      </c>
      <c r="K32" s="3" t="s">
        <v>11</v>
      </c>
      <c r="L32" s="3" t="str">
        <f>LEFT(Table1[[#This Row],[Designation]],5)</f>
        <v>Execu</v>
      </c>
      <c r="M32" s="3" t="s">
        <v>12</v>
      </c>
      <c r="N32" s="3" t="s">
        <v>13</v>
      </c>
      <c r="O32" s="3" t="s">
        <v>14</v>
      </c>
      <c r="P32" s="3" t="str">
        <f>LEFT(Table1[[#This Row],[City]],3)</f>
        <v>Koc</v>
      </c>
      <c r="Q32" s="3">
        <f>MONTH(Table1[[#This Row],[2.DD-MMM-YYY]])</f>
        <v>5</v>
      </c>
      <c r="R32" s="3" t="str">
        <f>TEXT(Table1[[#This Row],[Joining Date]],"DD-MMM-YYYY")</f>
        <v>25-May-2020</v>
      </c>
      <c r="S32" s="3">
        <f ca="1">NETWORKDAYS(Table1[[#This Row],[Joining Date]],TODAY())</f>
        <v>1664</v>
      </c>
      <c r="T32" s="3">
        <f>YEAR(Table1[[#This Row],[Joining Date]])</f>
        <v>2020</v>
      </c>
      <c r="U32" s="3" t="s">
        <v>106</v>
      </c>
      <c r="V32" s="3" t="str">
        <f>IF(Table1[[#This Row],[Experience (Years)]]&gt;5,"experience","fresher")</f>
        <v>experience</v>
      </c>
      <c r="W32" s="3">
        <v>7</v>
      </c>
      <c r="X32" s="3" t="str">
        <f>IF(Table1[[#This Row],[Experience (Years)]]&lt;=2,"JUNIOR",IF(Table1[[#This Row],[Experience (Years)]]&lt;=5,"MID LEVEL","SENIOR"))</f>
        <v>SENIOR</v>
      </c>
      <c r="Y32" s="3">
        <v>25000</v>
      </c>
      <c r="Z32" s="3" t="str">
        <f>IF(AND(Table1[[#This Row],[Experience (Years)]]&gt;5,Table1[[#This Row],[Status]]="ACTIVE"),"YES","NO")</f>
        <v>YES</v>
      </c>
      <c r="AA32" s="3" t="s">
        <v>16</v>
      </c>
    </row>
    <row r="33" spans="1:27" ht="18" x14ac:dyDescent="0.35">
      <c r="A33" t="str">
        <f>RIGHT(Table1[[#This Row],[Emp ID]],4)</f>
        <v>P032</v>
      </c>
      <c r="B33" s="3" t="s">
        <v>107</v>
      </c>
      <c r="C33" s="3">
        <f>FIND("A",Table1[[#This Row],[1.upper case]])</f>
        <v>4</v>
      </c>
      <c r="D33" s="3">
        <f>LEN(Table1[[#This Row],[7.TRIM]])</f>
        <v>4</v>
      </c>
      <c r="E33" s="3" t="str">
        <f>TRIM(Table1[[#This Row],[1.upper case]])</f>
        <v>DIYA</v>
      </c>
      <c r="F33" s="3" t="str">
        <f>UPPER(Table1[[#This Row],[Employee Name]])</f>
        <v>DIYA</v>
      </c>
      <c r="G33" s="3" t="s">
        <v>59</v>
      </c>
      <c r="H33" s="3" t="str">
        <f>_xlfn.CONCAT(Table1[[#This Row],[7.TRIM]],"-",Table1[[#This Row],[DepaRtmenT]])</f>
        <v>DIYA-IT</v>
      </c>
      <c r="I33" s="3" t="str">
        <f>PROPER(Table1[[#This Row],[DepaRtmenT]])</f>
        <v>It</v>
      </c>
      <c r="J33" s="3" t="str">
        <f>IF(OR(Table1[[#This Row],[DepaRtmenT]]="HR",Table1[[#This Row],[DepaRtmenT]]="FINANCE"),"YES","NO")</f>
        <v>NO</v>
      </c>
      <c r="K33" s="3" t="s">
        <v>19</v>
      </c>
      <c r="L33" s="3" t="str">
        <f>LEFT(Table1[[#This Row],[Designation]],5)</f>
        <v>Devel</v>
      </c>
      <c r="M33" s="3" t="s">
        <v>20</v>
      </c>
      <c r="N33" s="3" t="s">
        <v>21</v>
      </c>
      <c r="O33" s="3" t="s">
        <v>22</v>
      </c>
      <c r="P33" s="3" t="str">
        <f>LEFT(Table1[[#This Row],[City]],3)</f>
        <v>Tri</v>
      </c>
      <c r="Q33" s="3">
        <f>MONTH(Table1[[#This Row],[2.DD-MMM-YYY]])</f>
        <v>6</v>
      </c>
      <c r="R33" s="3" t="str">
        <f>TEXT(Table1[[#This Row],[Joining Date]],"DD-MMM-YYYY")</f>
        <v>11-Jun-2020</v>
      </c>
      <c r="S33" s="3">
        <f ca="1">NETWORKDAYS(Table1[[#This Row],[Joining Date]],TODAY())</f>
        <v>1651</v>
      </c>
      <c r="T33" s="3">
        <f>YEAR(Table1[[#This Row],[Joining Date]])</f>
        <v>2020</v>
      </c>
      <c r="U33" s="3" t="s">
        <v>108</v>
      </c>
      <c r="V33" s="3" t="str">
        <f>IF(Table1[[#This Row],[Experience (Years)]]&gt;5,"experience","fresher")</f>
        <v>experience</v>
      </c>
      <c r="W33" s="3">
        <v>8</v>
      </c>
      <c r="X33" s="3" t="str">
        <f>IF(Table1[[#This Row],[Experience (Years)]]&lt;=2,"JUNIOR",IF(Table1[[#This Row],[Experience (Years)]]&lt;=5,"MID LEVEL","SENIOR"))</f>
        <v>SENIOR</v>
      </c>
      <c r="Y33" s="3">
        <v>28500</v>
      </c>
      <c r="Z33" s="3" t="str">
        <f>IF(AND(Table1[[#This Row],[Experience (Years)]]&gt;5,Table1[[#This Row],[Status]]="ACTIVE"),"YES","NO")</f>
        <v>NO</v>
      </c>
      <c r="AA33" s="3" t="s">
        <v>24</v>
      </c>
    </row>
    <row r="34" spans="1:27" ht="18" x14ac:dyDescent="0.35">
      <c r="A34" t="str">
        <f>RIGHT(Table1[[#This Row],[Emp ID]],4)</f>
        <v>P033</v>
      </c>
      <c r="B34" s="3" t="s">
        <v>109</v>
      </c>
      <c r="C34" s="3">
        <f>FIND("A",Table1[[#This Row],[1.upper case]])</f>
        <v>1</v>
      </c>
      <c r="D34" s="3">
        <f>LEN(Table1[[#This Row],[7.TRIM]])</f>
        <v>5</v>
      </c>
      <c r="E34" s="3" t="str">
        <f>TRIM(Table1[[#This Row],[1.upper case]])</f>
        <v>ANOOP</v>
      </c>
      <c r="F34" s="3" t="str">
        <f>UPPER(Table1[[#This Row],[Employee Name]])</f>
        <v>ANOOP</v>
      </c>
      <c r="G34" s="3" t="s">
        <v>62</v>
      </c>
      <c r="H34" s="3" t="str">
        <f>_xlfn.CONCAT(Table1[[#This Row],[7.TRIM]],"-",Table1[[#This Row],[DepaRtmenT]])</f>
        <v>ANOOP-Finance</v>
      </c>
      <c r="I34" s="3" t="str">
        <f>PROPER(Table1[[#This Row],[DepaRtmenT]])</f>
        <v>Finance</v>
      </c>
      <c r="J34" s="3" t="str">
        <f>IF(OR(Table1[[#This Row],[DepaRtmenT]]="HR",Table1[[#This Row],[DepaRtmenT]]="FINANCE"),"YES","NO")</f>
        <v>YES</v>
      </c>
      <c r="K34" s="3" t="s">
        <v>27</v>
      </c>
      <c r="L34" s="3" t="str">
        <f>LEFT(Table1[[#This Row],[Designation]],5)</f>
        <v>Assoc</v>
      </c>
      <c r="M34" s="3" t="s">
        <v>28</v>
      </c>
      <c r="N34" s="3" t="s">
        <v>13</v>
      </c>
      <c r="O34" s="3" t="s">
        <v>14</v>
      </c>
      <c r="P34" s="3" t="str">
        <f>LEFT(Table1[[#This Row],[City]],3)</f>
        <v>Koc</v>
      </c>
      <c r="Q34" s="3">
        <f>MONTH(Table1[[#This Row],[2.DD-MMM-YYY]])</f>
        <v>6</v>
      </c>
      <c r="R34" s="3" t="str">
        <f>TEXT(Table1[[#This Row],[Joining Date]],"DD-MMM-YYYY")</f>
        <v>28-Jun-2020</v>
      </c>
      <c r="S34" s="3">
        <f ca="1">NETWORKDAYS(Table1[[#This Row],[Joining Date]],TODAY())</f>
        <v>1639</v>
      </c>
      <c r="T34" s="3">
        <f>YEAR(Table1[[#This Row],[Joining Date]])</f>
        <v>2020</v>
      </c>
      <c r="U34" s="3" t="s">
        <v>110</v>
      </c>
      <c r="V34" s="3" t="str">
        <f>IF(Table1[[#This Row],[Experience (Years)]]&gt;5,"experience","fresher")</f>
        <v>fresher</v>
      </c>
      <c r="W34" s="3">
        <v>1</v>
      </c>
      <c r="X34" s="3" t="str">
        <f>IF(Table1[[#This Row],[Experience (Years)]]&lt;=2,"JUNIOR",IF(Table1[[#This Row],[Experience (Years)]]&lt;=5,"MID LEVEL","SENIOR"))</f>
        <v>JUNIOR</v>
      </c>
      <c r="Y34" s="3">
        <v>32000</v>
      </c>
      <c r="Z34" s="3" t="str">
        <f>IF(AND(Table1[[#This Row],[Experience (Years)]]&gt;5,Table1[[#This Row],[Status]]="ACTIVE"),"YES","NO")</f>
        <v>NO</v>
      </c>
      <c r="AA34" s="3" t="s">
        <v>30</v>
      </c>
    </row>
    <row r="35" spans="1:27" ht="18" x14ac:dyDescent="0.35">
      <c r="A35" t="str">
        <f>RIGHT(Table1[[#This Row],[Emp ID]],4)</f>
        <v>P034</v>
      </c>
      <c r="B35" s="3" t="s">
        <v>111</v>
      </c>
      <c r="C35" s="3">
        <f>FIND("A",Table1[[#This Row],[1.upper case]])</f>
        <v>6</v>
      </c>
      <c r="D35" s="3">
        <f>LEN(Table1[[#This Row],[7.TRIM]])</f>
        <v>6</v>
      </c>
      <c r="E35" s="3" t="str">
        <f>TRIM(Table1[[#This Row],[1.upper case]])</f>
        <v>NITHYA</v>
      </c>
      <c r="F35" s="3" t="str">
        <f>UPPER(Table1[[#This Row],[Employee Name]])</f>
        <v>NITHYA</v>
      </c>
      <c r="G35" s="3" t="s">
        <v>65</v>
      </c>
      <c r="H35" s="3" t="str">
        <f>_xlfn.CONCAT(Table1[[#This Row],[7.TRIM]],"-",Table1[[#This Row],[DepaRtmenT]])</f>
        <v>NITHYA-Sales</v>
      </c>
      <c r="I35" s="3" t="str">
        <f>PROPER(Table1[[#This Row],[DepaRtmenT]])</f>
        <v>Sales</v>
      </c>
      <c r="J35" s="3" t="str">
        <f>IF(OR(Table1[[#This Row],[DepaRtmenT]]="HR",Table1[[#This Row],[DepaRtmenT]]="FINANCE"),"YES","NO")</f>
        <v>NO</v>
      </c>
      <c r="K35" s="3" t="s">
        <v>33</v>
      </c>
      <c r="L35" s="3" t="str">
        <f>LEFT(Table1[[#This Row],[Designation]],5)</f>
        <v>Execu</v>
      </c>
      <c r="M35" s="3" t="s">
        <v>12</v>
      </c>
      <c r="N35" s="3" t="s">
        <v>21</v>
      </c>
      <c r="O35" s="3" t="s">
        <v>22</v>
      </c>
      <c r="P35" s="3" t="str">
        <f>LEFT(Table1[[#This Row],[City]],3)</f>
        <v>Tri</v>
      </c>
      <c r="Q35" s="3">
        <f>MONTH(Table1[[#This Row],[2.DD-MMM-YYY]])</f>
        <v>7</v>
      </c>
      <c r="R35" s="3" t="str">
        <f>TEXT(Table1[[#This Row],[Joining Date]],"DD-MMM-YYYY")</f>
        <v>15-Jul-2020</v>
      </c>
      <c r="S35" s="3">
        <f ca="1">NETWORKDAYS(Table1[[#This Row],[Joining Date]],TODAY())</f>
        <v>1627</v>
      </c>
      <c r="T35" s="3">
        <f>YEAR(Table1[[#This Row],[Joining Date]])</f>
        <v>2020</v>
      </c>
      <c r="U35" s="3" t="s">
        <v>112</v>
      </c>
      <c r="V35" s="3" t="str">
        <f>IF(Table1[[#This Row],[Experience (Years)]]&gt;5,"experience","fresher")</f>
        <v>fresher</v>
      </c>
      <c r="W35" s="3">
        <v>2</v>
      </c>
      <c r="X35" s="3" t="str">
        <f>IF(Table1[[#This Row],[Experience (Years)]]&lt;=2,"JUNIOR",IF(Table1[[#This Row],[Experience (Years)]]&lt;=5,"MID LEVEL","SENIOR"))</f>
        <v>JUNIOR</v>
      </c>
      <c r="Y35" s="3">
        <v>35500</v>
      </c>
      <c r="Z35" s="3" t="str">
        <f>IF(AND(Table1[[#This Row],[Experience (Years)]]&gt;5,Table1[[#This Row],[Status]]="ACTIVE"),"YES","NO")</f>
        <v>NO</v>
      </c>
      <c r="AA35" s="3" t="s">
        <v>16</v>
      </c>
    </row>
    <row r="36" spans="1:27" ht="18" x14ac:dyDescent="0.35">
      <c r="A36" t="str">
        <f>RIGHT(Table1[[#This Row],[Emp ID]],4)</f>
        <v>P035</v>
      </c>
      <c r="B36" s="3" t="s">
        <v>113</v>
      </c>
      <c r="C36" s="3">
        <f>FIND("A",Table1[[#This Row],[1.upper case]])</f>
        <v>1</v>
      </c>
      <c r="D36" s="3">
        <f>LEN(Table1[[#This Row],[7.TRIM]])</f>
        <v>6</v>
      </c>
      <c r="E36" s="3" t="str">
        <f>TRIM(Table1[[#This Row],[1.upper case]])</f>
        <v>ADITYA</v>
      </c>
      <c r="F36" s="3" t="str">
        <f>UPPER(Table1[[#This Row],[Employee Name]])</f>
        <v>ADITYA</v>
      </c>
      <c r="G36" s="3" t="s">
        <v>68</v>
      </c>
      <c r="H36" s="3" t="str">
        <f>_xlfn.CONCAT(Table1[[#This Row],[7.TRIM]],"-",Table1[[#This Row],[DepaRtmenT]])</f>
        <v>ADITYA-Marketing</v>
      </c>
      <c r="I36" s="3" t="str">
        <f>PROPER(Table1[[#This Row],[DepaRtmenT]])</f>
        <v>Marketing</v>
      </c>
      <c r="J36" s="3" t="str">
        <f>IF(OR(Table1[[#This Row],[DepaRtmenT]]="HR",Table1[[#This Row],[DepaRtmenT]]="FINANCE"),"YES","NO")</f>
        <v>NO</v>
      </c>
      <c r="K36" s="3" t="s">
        <v>37</v>
      </c>
      <c r="L36" s="3" t="str">
        <f>LEFT(Table1[[#This Row],[Designation]],5)</f>
        <v>Devel</v>
      </c>
      <c r="M36" s="3" t="s">
        <v>20</v>
      </c>
      <c r="N36" s="3" t="s">
        <v>13</v>
      </c>
      <c r="O36" s="3" t="s">
        <v>14</v>
      </c>
      <c r="P36" s="3" t="str">
        <f>LEFT(Table1[[#This Row],[City]],3)</f>
        <v>Koc</v>
      </c>
      <c r="Q36" s="3">
        <f>MONTH(Table1[[#This Row],[2.DD-MMM-YYY]])</f>
        <v>8</v>
      </c>
      <c r="R36" s="3" t="str">
        <f>TEXT(Table1[[#This Row],[Joining Date]],"DD-MMM-YYYY")</f>
        <v>01-Aug-2020</v>
      </c>
      <c r="S36" s="3">
        <f ca="1">NETWORKDAYS(Table1[[#This Row],[Joining Date]],TODAY())</f>
        <v>1614</v>
      </c>
      <c r="T36" s="3">
        <f>YEAR(Table1[[#This Row],[Joining Date]])</f>
        <v>2020</v>
      </c>
      <c r="U36" s="3" t="s">
        <v>114</v>
      </c>
      <c r="V36" s="3" t="str">
        <f>IF(Table1[[#This Row],[Experience (Years)]]&gt;5,"experience","fresher")</f>
        <v>fresher</v>
      </c>
      <c r="W36" s="3">
        <v>3</v>
      </c>
      <c r="X36" s="3" t="str">
        <f>IF(Table1[[#This Row],[Experience (Years)]]&lt;=2,"JUNIOR",IF(Table1[[#This Row],[Experience (Years)]]&lt;=5,"MID LEVEL","SENIOR"))</f>
        <v>MID LEVEL</v>
      </c>
      <c r="Y36" s="3">
        <v>39000</v>
      </c>
      <c r="Z36" s="3" t="str">
        <f>IF(AND(Table1[[#This Row],[Experience (Years)]]&gt;5,Table1[[#This Row],[Status]]="ACTIVE"),"YES","NO")</f>
        <v>NO</v>
      </c>
      <c r="AA36" s="3" t="s">
        <v>24</v>
      </c>
    </row>
    <row r="37" spans="1:27" ht="18" x14ac:dyDescent="0.35">
      <c r="A37" t="str">
        <f>RIGHT(Table1[[#This Row],[Emp ID]],4)</f>
        <v>P036</v>
      </c>
      <c r="B37" s="3" t="s">
        <v>115</v>
      </c>
      <c r="C37" s="3">
        <f>FIND("A",Table1[[#This Row],[1.upper case]])</f>
        <v>1</v>
      </c>
      <c r="D37" s="3">
        <f>LEN(Table1[[#This Row],[7.TRIM]])</f>
        <v>4</v>
      </c>
      <c r="E37" s="3" t="str">
        <f>TRIM(Table1[[#This Row],[1.upper case]])</f>
        <v>ASHA</v>
      </c>
      <c r="F37" s="3" t="str">
        <f>UPPER(Table1[[#This Row],[Employee Name]])</f>
        <v>ASHA</v>
      </c>
      <c r="G37" s="3" t="s">
        <v>71</v>
      </c>
      <c r="H37" s="3" t="str">
        <f>_xlfn.CONCAT(Table1[[#This Row],[7.TRIM]],"-",Table1[[#This Row],[DepaRtmenT]])</f>
        <v>ASHA-Operations</v>
      </c>
      <c r="I37" s="3" t="str">
        <f>PROPER(Table1[[#This Row],[DepaRtmenT]])</f>
        <v>Operations</v>
      </c>
      <c r="J37" s="3" t="str">
        <f>IF(OR(Table1[[#This Row],[DepaRtmenT]]="HR",Table1[[#This Row],[DepaRtmenT]]="FINANCE"),"YES","NO")</f>
        <v>NO</v>
      </c>
      <c r="K37" s="3" t="s">
        <v>41</v>
      </c>
      <c r="L37" s="3" t="str">
        <f>LEFT(Table1[[#This Row],[Designation]],5)</f>
        <v>Assoc</v>
      </c>
      <c r="M37" s="3" t="s">
        <v>28</v>
      </c>
      <c r="N37" s="3" t="s">
        <v>21</v>
      </c>
      <c r="O37" s="3" t="s">
        <v>22</v>
      </c>
      <c r="P37" s="3" t="str">
        <f>LEFT(Table1[[#This Row],[City]],3)</f>
        <v>Tri</v>
      </c>
      <c r="Q37" s="3">
        <f>MONTH(Table1[[#This Row],[2.DD-MMM-YYY]])</f>
        <v>8</v>
      </c>
      <c r="R37" s="3" t="str">
        <f>TEXT(Table1[[#This Row],[Joining Date]],"DD-MMM-YYYY")</f>
        <v>18-Aug-2020</v>
      </c>
      <c r="S37" s="3">
        <f ca="1">NETWORKDAYS(Table1[[#This Row],[Joining Date]],TODAY())</f>
        <v>1603</v>
      </c>
      <c r="T37" s="3">
        <f>YEAR(Table1[[#This Row],[Joining Date]])</f>
        <v>2020</v>
      </c>
      <c r="U37" s="3" t="s">
        <v>116</v>
      </c>
      <c r="V37" s="3" t="str">
        <f>IF(Table1[[#This Row],[Experience (Years)]]&gt;5,"experience","fresher")</f>
        <v>fresher</v>
      </c>
      <c r="W37" s="3">
        <v>4</v>
      </c>
      <c r="X37" s="3" t="str">
        <f>IF(Table1[[#This Row],[Experience (Years)]]&lt;=2,"JUNIOR",IF(Table1[[#This Row],[Experience (Years)]]&lt;=5,"MID LEVEL","SENIOR"))</f>
        <v>MID LEVEL</v>
      </c>
      <c r="Y37" s="3">
        <v>42500</v>
      </c>
      <c r="Z37" s="3" t="str">
        <f>IF(AND(Table1[[#This Row],[Experience (Years)]]&gt;5,Table1[[#This Row],[Status]]="ACTIVE"),"YES","NO")</f>
        <v>NO</v>
      </c>
      <c r="AA37" s="3" t="s">
        <v>30</v>
      </c>
    </row>
    <row r="38" spans="1:27" ht="18" x14ac:dyDescent="0.35">
      <c r="A38" t="str">
        <f>RIGHT(Table1[[#This Row],[Emp ID]],4)</f>
        <v>P037</v>
      </c>
      <c r="B38" s="3" t="s">
        <v>117</v>
      </c>
      <c r="C38" s="3">
        <f>FIND("A",Table1[[#This Row],[1.upper case]])</f>
        <v>2</v>
      </c>
      <c r="D38" s="3">
        <f>LEN(Table1[[#This Row],[7.TRIM]])</f>
        <v>5</v>
      </c>
      <c r="E38" s="3" t="str">
        <f>TRIM(Table1[[#This Row],[1.upper case]])</f>
        <v>VARUN</v>
      </c>
      <c r="F38" s="3" t="str">
        <f>UPPER(Table1[[#This Row],[Employee Name]])</f>
        <v>VARUN</v>
      </c>
      <c r="G38" s="3" t="s">
        <v>74</v>
      </c>
      <c r="H38" s="3" t="str">
        <f>_xlfn.CONCAT(Table1[[#This Row],[7.TRIM]],"-",Table1[[#This Row],[DepaRtmenT]])</f>
        <v>VARUN-HR</v>
      </c>
      <c r="I38" s="3" t="str">
        <f>PROPER(Table1[[#This Row],[DepaRtmenT]])</f>
        <v>Hr</v>
      </c>
      <c r="J38" s="3" t="str">
        <f>IF(OR(Table1[[#This Row],[DepaRtmenT]]="HR",Table1[[#This Row],[DepaRtmenT]]="FINANCE"),"YES","NO")</f>
        <v>YES</v>
      </c>
      <c r="K38" s="3" t="s">
        <v>11</v>
      </c>
      <c r="L38" s="3" t="str">
        <f>LEFT(Table1[[#This Row],[Designation]],5)</f>
        <v>Execu</v>
      </c>
      <c r="M38" s="3" t="s">
        <v>12</v>
      </c>
      <c r="N38" s="3" t="s">
        <v>13</v>
      </c>
      <c r="O38" s="3" t="s">
        <v>14</v>
      </c>
      <c r="P38" s="3" t="str">
        <f>LEFT(Table1[[#This Row],[City]],3)</f>
        <v>Koc</v>
      </c>
      <c r="Q38" s="3">
        <f>MONTH(Table1[[#This Row],[2.DD-MMM-YYY]])</f>
        <v>9</v>
      </c>
      <c r="R38" s="3" t="str">
        <f>TEXT(Table1[[#This Row],[Joining Date]],"DD-MMM-YYYY")</f>
        <v>04-Sep-2020</v>
      </c>
      <c r="S38" s="3">
        <f ca="1">NETWORKDAYS(Table1[[#This Row],[Joining Date]],TODAY())</f>
        <v>1590</v>
      </c>
      <c r="T38" s="3">
        <f>YEAR(Table1[[#This Row],[Joining Date]])</f>
        <v>2020</v>
      </c>
      <c r="U38" s="3" t="s">
        <v>118</v>
      </c>
      <c r="V38" s="3" t="str">
        <f>IF(Table1[[#This Row],[Experience (Years)]]&gt;5,"experience","fresher")</f>
        <v>fresher</v>
      </c>
      <c r="W38" s="3">
        <v>5</v>
      </c>
      <c r="X38" s="3" t="str">
        <f>IF(Table1[[#This Row],[Experience (Years)]]&lt;=2,"JUNIOR",IF(Table1[[#This Row],[Experience (Years)]]&lt;=5,"MID LEVEL","SENIOR"))</f>
        <v>MID LEVEL</v>
      </c>
      <c r="Y38" s="3">
        <v>46000</v>
      </c>
      <c r="Z38" s="3" t="str">
        <f>IF(AND(Table1[[#This Row],[Experience (Years)]]&gt;5,Table1[[#This Row],[Status]]="ACTIVE"),"YES","NO")</f>
        <v>NO</v>
      </c>
      <c r="AA38" s="3" t="s">
        <v>16</v>
      </c>
    </row>
    <row r="39" spans="1:27" ht="18" x14ac:dyDescent="0.35">
      <c r="A39" t="str">
        <f>RIGHT(Table1[[#This Row],[Emp ID]],4)</f>
        <v>P038</v>
      </c>
      <c r="B39" s="3" t="s">
        <v>119</v>
      </c>
      <c r="C39" s="3">
        <f>FIND("A",Table1[[#This Row],[1.upper case]])</f>
        <v>7</v>
      </c>
      <c r="D39" s="3">
        <f>LEN(Table1[[#This Row],[7.TRIM]])</f>
        <v>9</v>
      </c>
      <c r="E39" s="3" t="str">
        <f>TRIM(Table1[[#This Row],[1.upper case]])</f>
        <v>KEERTHANA</v>
      </c>
      <c r="F39" s="3" t="str">
        <f>UPPER(Table1[[#This Row],[Employee Name]])</f>
        <v>KEERTHANA</v>
      </c>
      <c r="G39" s="3" t="s">
        <v>77</v>
      </c>
      <c r="H39" s="3" t="str">
        <f>_xlfn.CONCAT(Table1[[#This Row],[7.TRIM]],"-",Table1[[#This Row],[DepaRtmenT]])</f>
        <v>KEERTHANA-IT</v>
      </c>
      <c r="I39" s="3" t="str">
        <f>PROPER(Table1[[#This Row],[DepaRtmenT]])</f>
        <v>It</v>
      </c>
      <c r="J39" s="3" t="str">
        <f>IF(OR(Table1[[#This Row],[DepaRtmenT]]="HR",Table1[[#This Row],[DepaRtmenT]]="FINANCE"),"YES","NO")</f>
        <v>NO</v>
      </c>
      <c r="K39" s="3" t="s">
        <v>19</v>
      </c>
      <c r="L39" s="3" t="str">
        <f>LEFT(Table1[[#This Row],[Designation]],5)</f>
        <v>Devel</v>
      </c>
      <c r="M39" s="3" t="s">
        <v>20</v>
      </c>
      <c r="N39" s="3" t="s">
        <v>21</v>
      </c>
      <c r="O39" s="3" t="s">
        <v>22</v>
      </c>
      <c r="P39" s="3" t="str">
        <f>LEFT(Table1[[#This Row],[City]],3)</f>
        <v>Tri</v>
      </c>
      <c r="Q39" s="3">
        <f>MONTH(Table1[[#This Row],[2.DD-MMM-YYY]])</f>
        <v>9</v>
      </c>
      <c r="R39" s="3" t="str">
        <f>TEXT(Table1[[#This Row],[Joining Date]],"DD-MMM-YYYY")</f>
        <v>21-Sep-2020</v>
      </c>
      <c r="S39" s="3">
        <f ca="1">NETWORKDAYS(Table1[[#This Row],[Joining Date]],TODAY())</f>
        <v>1579</v>
      </c>
      <c r="T39" s="3">
        <f>YEAR(Table1[[#This Row],[Joining Date]])</f>
        <v>2020</v>
      </c>
      <c r="U39" s="3" t="s">
        <v>120</v>
      </c>
      <c r="V39" s="3" t="str">
        <f>IF(Table1[[#This Row],[Experience (Years)]]&gt;5,"experience","fresher")</f>
        <v>experience</v>
      </c>
      <c r="W39" s="3">
        <v>6</v>
      </c>
      <c r="X39" s="3" t="str">
        <f>IF(Table1[[#This Row],[Experience (Years)]]&lt;=2,"JUNIOR",IF(Table1[[#This Row],[Experience (Years)]]&lt;=5,"MID LEVEL","SENIOR"))</f>
        <v>SENIOR</v>
      </c>
      <c r="Y39" s="3">
        <v>49500</v>
      </c>
      <c r="Z39" s="3" t="str">
        <f>IF(AND(Table1[[#This Row],[Experience (Years)]]&gt;5,Table1[[#This Row],[Status]]="ACTIVE"),"YES","NO")</f>
        <v>NO</v>
      </c>
      <c r="AA39" s="3" t="s">
        <v>24</v>
      </c>
    </row>
    <row r="40" spans="1:27" ht="18" x14ac:dyDescent="0.35">
      <c r="A40" t="str">
        <f>RIGHT(Table1[[#This Row],[Emp ID]],4)</f>
        <v>P039</v>
      </c>
      <c r="B40" s="3" t="s">
        <v>121</v>
      </c>
      <c r="C40" s="3" t="e">
        <f>FIND("A",Table1[[#This Row],[1.upper case]])</f>
        <v>#VALUE!</v>
      </c>
      <c r="D40" s="3">
        <f>LEN(Table1[[#This Row],[7.TRIM]])</f>
        <v>4</v>
      </c>
      <c r="E40" s="3" t="str">
        <f>TRIM(Table1[[#This Row],[1.upper case]])</f>
        <v>JOEL</v>
      </c>
      <c r="F40" s="3" t="str">
        <f>UPPER(Table1[[#This Row],[Employee Name]])</f>
        <v>JOEL</v>
      </c>
      <c r="G40" s="3" t="s">
        <v>80</v>
      </c>
      <c r="H40" s="3" t="str">
        <f>_xlfn.CONCAT(Table1[[#This Row],[7.TRIM]],"-",Table1[[#This Row],[DepaRtmenT]])</f>
        <v>JOEL-Finance</v>
      </c>
      <c r="I40" s="3" t="str">
        <f>PROPER(Table1[[#This Row],[DepaRtmenT]])</f>
        <v>Finance</v>
      </c>
      <c r="J40" s="3" t="str">
        <f>IF(OR(Table1[[#This Row],[DepaRtmenT]]="HR",Table1[[#This Row],[DepaRtmenT]]="FINANCE"),"YES","NO")</f>
        <v>YES</v>
      </c>
      <c r="K40" s="3" t="s">
        <v>27</v>
      </c>
      <c r="L40" s="3" t="str">
        <f>LEFT(Table1[[#This Row],[Designation]],5)</f>
        <v>Assoc</v>
      </c>
      <c r="M40" s="3" t="s">
        <v>28</v>
      </c>
      <c r="N40" s="3" t="s">
        <v>13</v>
      </c>
      <c r="O40" s="3" t="s">
        <v>14</v>
      </c>
      <c r="P40" s="3" t="str">
        <f>LEFT(Table1[[#This Row],[City]],3)</f>
        <v>Koc</v>
      </c>
      <c r="Q40" s="3">
        <f>MONTH(Table1[[#This Row],[2.DD-MMM-YYY]])</f>
        <v>10</v>
      </c>
      <c r="R40" s="3" t="str">
        <f>TEXT(Table1[[#This Row],[Joining Date]],"DD-MMM-YYYY")</f>
        <v>08-Oct-2020</v>
      </c>
      <c r="S40" s="3">
        <f ca="1">NETWORKDAYS(Table1[[#This Row],[Joining Date]],TODAY())</f>
        <v>1566</v>
      </c>
      <c r="T40" s="3">
        <f>YEAR(Table1[[#This Row],[Joining Date]])</f>
        <v>2020</v>
      </c>
      <c r="U40" s="3" t="s">
        <v>122</v>
      </c>
      <c r="V40" s="3" t="str">
        <f>IF(Table1[[#This Row],[Experience (Years)]]&gt;5,"experience","fresher")</f>
        <v>experience</v>
      </c>
      <c r="W40" s="3">
        <v>7</v>
      </c>
      <c r="X40" s="3" t="str">
        <f>IF(Table1[[#This Row],[Experience (Years)]]&lt;=2,"JUNIOR",IF(Table1[[#This Row],[Experience (Years)]]&lt;=5,"MID LEVEL","SENIOR"))</f>
        <v>SENIOR</v>
      </c>
      <c r="Y40" s="3">
        <v>53000</v>
      </c>
      <c r="Z40" s="3" t="str">
        <f>IF(AND(Table1[[#This Row],[Experience (Years)]]&gt;5,Table1[[#This Row],[Status]]="ACTIVE"),"YES","NO")</f>
        <v>NO</v>
      </c>
      <c r="AA40" s="3" t="s">
        <v>30</v>
      </c>
    </row>
    <row r="41" spans="1:27" ht="18" x14ac:dyDescent="0.35">
      <c r="A41" t="str">
        <f>RIGHT(Table1[[#This Row],[Emp ID]],4)</f>
        <v>P040</v>
      </c>
      <c r="B41" s="3" t="s">
        <v>123</v>
      </c>
      <c r="C41" s="3">
        <f>FIND("A",Table1[[#This Row],[1.upper case]])</f>
        <v>1</v>
      </c>
      <c r="D41" s="3">
        <f>LEN(Table1[[#This Row],[7.TRIM]])</f>
        <v>6</v>
      </c>
      <c r="E41" s="3" t="str">
        <f>TRIM(Table1[[#This Row],[1.upper case]])</f>
        <v>ATHIRA</v>
      </c>
      <c r="F41" s="3" t="str">
        <f>UPPER(Table1[[#This Row],[Employee Name]])</f>
        <v>ATHIRA</v>
      </c>
      <c r="G41" s="3" t="s">
        <v>83</v>
      </c>
      <c r="H41" s="3" t="str">
        <f>_xlfn.CONCAT(Table1[[#This Row],[7.TRIM]],"-",Table1[[#This Row],[DepaRtmenT]])</f>
        <v>ATHIRA-Sales</v>
      </c>
      <c r="I41" s="3" t="str">
        <f>PROPER(Table1[[#This Row],[DepaRtmenT]])</f>
        <v>Sales</v>
      </c>
      <c r="J41" s="3" t="str">
        <f>IF(OR(Table1[[#This Row],[DepaRtmenT]]="HR",Table1[[#This Row],[DepaRtmenT]]="FINANCE"),"YES","NO")</f>
        <v>NO</v>
      </c>
      <c r="K41" s="3" t="s">
        <v>33</v>
      </c>
      <c r="L41" s="3" t="str">
        <f>LEFT(Table1[[#This Row],[Designation]],5)</f>
        <v>Execu</v>
      </c>
      <c r="M41" s="3" t="s">
        <v>12</v>
      </c>
      <c r="N41" s="3" t="s">
        <v>21</v>
      </c>
      <c r="O41" s="3" t="s">
        <v>22</v>
      </c>
      <c r="P41" s="3" t="str">
        <f>LEFT(Table1[[#This Row],[City]],3)</f>
        <v>Tri</v>
      </c>
      <c r="Q41" s="3">
        <f>MONTH(Table1[[#This Row],[2.DD-MMM-YYY]])</f>
        <v>10</v>
      </c>
      <c r="R41" s="3" t="str">
        <f>TEXT(Table1[[#This Row],[Joining Date]],"DD-MMM-YYYY")</f>
        <v>25-Oct-2020</v>
      </c>
      <c r="S41" s="3">
        <f ca="1">NETWORKDAYS(Table1[[#This Row],[Joining Date]],TODAY())</f>
        <v>1554</v>
      </c>
      <c r="T41" s="3">
        <f>YEAR(Table1[[#This Row],[Joining Date]])</f>
        <v>2020</v>
      </c>
      <c r="U41" s="3" t="s">
        <v>124</v>
      </c>
      <c r="V41" s="3" t="str">
        <f>IF(Table1[[#This Row],[Experience (Years)]]&gt;5,"experience","fresher")</f>
        <v>experience</v>
      </c>
      <c r="W41" s="3">
        <v>8</v>
      </c>
      <c r="X41" s="3" t="str">
        <f>IF(Table1[[#This Row],[Experience (Years)]]&lt;=2,"JUNIOR",IF(Table1[[#This Row],[Experience (Years)]]&lt;=5,"MID LEVEL","SENIOR"))</f>
        <v>SENIOR</v>
      </c>
      <c r="Y41" s="3">
        <v>56500</v>
      </c>
      <c r="Z41" s="3" t="str">
        <f>IF(AND(Table1[[#This Row],[Experience (Years)]]&gt;5,Table1[[#This Row],[Status]]="ACTIVE"),"YES","NO")</f>
        <v>YES</v>
      </c>
      <c r="AA41" s="3" t="s">
        <v>16</v>
      </c>
    </row>
    <row r="42" spans="1:27" ht="18" x14ac:dyDescent="0.35">
      <c r="A42" t="str">
        <f>RIGHT(Table1[[#This Row],[Emp ID]],4)</f>
        <v>P041</v>
      </c>
      <c r="B42" s="3" t="s">
        <v>125</v>
      </c>
      <c r="C42" s="3">
        <f>FIND("A",Table1[[#This Row],[1.upper case]])</f>
        <v>2</v>
      </c>
      <c r="D42" s="3">
        <f>LEN(Table1[[#This Row],[7.TRIM]])</f>
        <v>5</v>
      </c>
      <c r="E42" s="3" t="str">
        <f>TRIM(Table1[[#This Row],[1.upper case]])</f>
        <v>RAHUL</v>
      </c>
      <c r="F42" s="3" t="str">
        <f>UPPER(Table1[[#This Row],[Employee Name]])</f>
        <v>RAHUL</v>
      </c>
      <c r="G42" s="3" t="s">
        <v>10</v>
      </c>
      <c r="H42" s="3" t="str">
        <f>_xlfn.CONCAT(Table1[[#This Row],[7.TRIM]],"-",Table1[[#This Row],[DepaRtmenT]])</f>
        <v>RAHUL-Marketing</v>
      </c>
      <c r="I42" s="3" t="str">
        <f>PROPER(Table1[[#This Row],[DepaRtmenT]])</f>
        <v>Marketing</v>
      </c>
      <c r="J42" s="3" t="str">
        <f>IF(OR(Table1[[#This Row],[DepaRtmenT]]="HR",Table1[[#This Row],[DepaRtmenT]]="FINANCE"),"YES","NO")</f>
        <v>NO</v>
      </c>
      <c r="K42" s="3" t="s">
        <v>37</v>
      </c>
      <c r="L42" s="3" t="str">
        <f>LEFT(Table1[[#This Row],[Designation]],5)</f>
        <v>Devel</v>
      </c>
      <c r="M42" s="3" t="s">
        <v>20</v>
      </c>
      <c r="N42" s="3" t="s">
        <v>13</v>
      </c>
      <c r="O42" s="3" t="s">
        <v>14</v>
      </c>
      <c r="P42" s="3" t="str">
        <f>LEFT(Table1[[#This Row],[City]],3)</f>
        <v>Koc</v>
      </c>
      <c r="Q42" s="3">
        <f>MONTH(Table1[[#This Row],[2.DD-MMM-YYY]])</f>
        <v>11</v>
      </c>
      <c r="R42" s="3" t="str">
        <f>TEXT(Table1[[#This Row],[Joining Date]],"DD-MMM-YYYY")</f>
        <v>11-Nov-2020</v>
      </c>
      <c r="S42" s="3">
        <f ca="1">NETWORKDAYS(Table1[[#This Row],[Joining Date]],TODAY())</f>
        <v>1542</v>
      </c>
      <c r="T42" s="3">
        <f>YEAR(Table1[[#This Row],[Joining Date]])</f>
        <v>2020</v>
      </c>
      <c r="U42" s="3" t="s">
        <v>126</v>
      </c>
      <c r="V42" s="3" t="str">
        <f>IF(Table1[[#This Row],[Experience (Years)]]&gt;5,"experience","fresher")</f>
        <v>fresher</v>
      </c>
      <c r="W42" s="3">
        <v>1</v>
      </c>
      <c r="X42" s="3" t="str">
        <f>IF(Table1[[#This Row],[Experience (Years)]]&lt;=2,"JUNIOR",IF(Table1[[#This Row],[Experience (Years)]]&lt;=5,"MID LEVEL","SENIOR"))</f>
        <v>JUNIOR</v>
      </c>
      <c r="Y42" s="3">
        <v>60000</v>
      </c>
      <c r="Z42" s="3" t="str">
        <f>IF(AND(Table1[[#This Row],[Experience (Years)]]&gt;5,Table1[[#This Row],[Status]]="ACTIVE"),"YES","NO")</f>
        <v>NO</v>
      </c>
      <c r="AA42" s="3" t="s">
        <v>24</v>
      </c>
    </row>
    <row r="43" spans="1:27" ht="18" x14ac:dyDescent="0.35">
      <c r="A43" t="str">
        <f>RIGHT(Table1[[#This Row],[Emp ID]],4)</f>
        <v>P042</v>
      </c>
      <c r="B43" s="3" t="s">
        <v>127</v>
      </c>
      <c r="C43" s="3">
        <f>FIND("A",Table1[[#This Row],[1.upper case]])</f>
        <v>5</v>
      </c>
      <c r="D43" s="3">
        <f>LEN(Table1[[#This Row],[7.TRIM]])</f>
        <v>5</v>
      </c>
      <c r="E43" s="3" t="str">
        <f>TRIM(Table1[[#This Row],[1.upper case]])</f>
        <v>PRIYA</v>
      </c>
      <c r="F43" s="3" t="str">
        <f>UPPER(Table1[[#This Row],[Employee Name]])</f>
        <v>PRIYA</v>
      </c>
      <c r="G43" s="3" t="s">
        <v>18</v>
      </c>
      <c r="H43" s="3" t="str">
        <f>_xlfn.CONCAT(Table1[[#This Row],[7.TRIM]],"-",Table1[[#This Row],[DepaRtmenT]])</f>
        <v>PRIYA-Operations</v>
      </c>
      <c r="I43" s="3" t="str">
        <f>PROPER(Table1[[#This Row],[DepaRtmenT]])</f>
        <v>Operations</v>
      </c>
      <c r="J43" s="3" t="str">
        <f>IF(OR(Table1[[#This Row],[DepaRtmenT]]="HR",Table1[[#This Row],[DepaRtmenT]]="FINANCE"),"YES","NO")</f>
        <v>NO</v>
      </c>
      <c r="K43" s="3" t="s">
        <v>41</v>
      </c>
      <c r="L43" s="3" t="str">
        <f>LEFT(Table1[[#This Row],[Designation]],5)</f>
        <v>Assoc</v>
      </c>
      <c r="M43" s="3" t="s">
        <v>28</v>
      </c>
      <c r="N43" s="3" t="s">
        <v>21</v>
      </c>
      <c r="O43" s="3" t="s">
        <v>22</v>
      </c>
      <c r="P43" s="3" t="str">
        <f>LEFT(Table1[[#This Row],[City]],3)</f>
        <v>Tri</v>
      </c>
      <c r="Q43" s="3">
        <f>MONTH(Table1[[#This Row],[2.DD-MMM-YYY]])</f>
        <v>11</v>
      </c>
      <c r="R43" s="3" t="str">
        <f>TEXT(Table1[[#This Row],[Joining Date]],"DD-MMM-YYYY")</f>
        <v>28-Nov-2020</v>
      </c>
      <c r="S43" s="3">
        <f ca="1">NETWORKDAYS(Table1[[#This Row],[Joining Date]],TODAY())</f>
        <v>1529</v>
      </c>
      <c r="T43" s="3">
        <f>YEAR(Table1[[#This Row],[Joining Date]])</f>
        <v>2020</v>
      </c>
      <c r="U43" s="3" t="s">
        <v>128</v>
      </c>
      <c r="V43" s="3" t="str">
        <f>IF(Table1[[#This Row],[Experience (Years)]]&gt;5,"experience","fresher")</f>
        <v>fresher</v>
      </c>
      <c r="W43" s="3">
        <v>2</v>
      </c>
      <c r="X43" s="3" t="str">
        <f>IF(Table1[[#This Row],[Experience (Years)]]&lt;=2,"JUNIOR",IF(Table1[[#This Row],[Experience (Years)]]&lt;=5,"MID LEVEL","SENIOR"))</f>
        <v>JUNIOR</v>
      </c>
      <c r="Y43" s="3">
        <v>63500</v>
      </c>
      <c r="Z43" s="3" t="str">
        <f>IF(AND(Table1[[#This Row],[Experience (Years)]]&gt;5,Table1[[#This Row],[Status]]="ACTIVE"),"YES","NO")</f>
        <v>NO</v>
      </c>
      <c r="AA43" s="3" t="s">
        <v>30</v>
      </c>
    </row>
    <row r="44" spans="1:27" ht="18" x14ac:dyDescent="0.35">
      <c r="A44" t="str">
        <f>RIGHT(Table1[[#This Row],[Emp ID]],4)</f>
        <v>P043</v>
      </c>
      <c r="B44" s="3" t="s">
        <v>129</v>
      </c>
      <c r="C44" s="3">
        <f>FIND("A",Table1[[#This Row],[1.upper case]])</f>
        <v>1</v>
      </c>
      <c r="D44" s="3">
        <f>LEN(Table1[[#This Row],[7.TRIM]])</f>
        <v>5</v>
      </c>
      <c r="E44" s="3" t="str">
        <f>TRIM(Table1[[#This Row],[1.upper case]])</f>
        <v>ARJUN</v>
      </c>
      <c r="F44" s="3" t="str">
        <f>UPPER(Table1[[#This Row],[Employee Name]])</f>
        <v>ARJUN</v>
      </c>
      <c r="G44" s="3" t="s">
        <v>26</v>
      </c>
      <c r="H44" s="3" t="str">
        <f>_xlfn.CONCAT(Table1[[#This Row],[7.TRIM]],"-",Table1[[#This Row],[DepaRtmenT]])</f>
        <v>ARJUN-HR</v>
      </c>
      <c r="I44" s="3" t="str">
        <f>PROPER(Table1[[#This Row],[DepaRtmenT]])</f>
        <v>Hr</v>
      </c>
      <c r="J44" s="3" t="str">
        <f>IF(OR(Table1[[#This Row],[DepaRtmenT]]="HR",Table1[[#This Row],[DepaRtmenT]]="FINANCE"),"YES","NO")</f>
        <v>YES</v>
      </c>
      <c r="K44" s="3" t="s">
        <v>11</v>
      </c>
      <c r="L44" s="3" t="str">
        <f>LEFT(Table1[[#This Row],[Designation]],5)</f>
        <v>Execu</v>
      </c>
      <c r="M44" s="3" t="s">
        <v>12</v>
      </c>
      <c r="N44" s="3" t="s">
        <v>13</v>
      </c>
      <c r="O44" s="3" t="s">
        <v>14</v>
      </c>
      <c r="P44" s="3" t="str">
        <f>LEFT(Table1[[#This Row],[City]],3)</f>
        <v>Koc</v>
      </c>
      <c r="Q44" s="3">
        <f>MONTH(Table1[[#This Row],[2.DD-MMM-YYY]])</f>
        <v>12</v>
      </c>
      <c r="R44" s="3" t="str">
        <f>TEXT(Table1[[#This Row],[Joining Date]],"DD-MMM-YYYY")</f>
        <v>15-Dec-2020</v>
      </c>
      <c r="S44" s="3">
        <f ca="1">NETWORKDAYS(Table1[[#This Row],[Joining Date]],TODAY())</f>
        <v>1518</v>
      </c>
      <c r="T44" s="3">
        <f>YEAR(Table1[[#This Row],[Joining Date]])</f>
        <v>2020</v>
      </c>
      <c r="U44" s="3" t="s">
        <v>130</v>
      </c>
      <c r="V44" s="3" t="str">
        <f>IF(Table1[[#This Row],[Experience (Years)]]&gt;5,"experience","fresher")</f>
        <v>fresher</v>
      </c>
      <c r="W44" s="3">
        <v>3</v>
      </c>
      <c r="X44" s="3" t="str">
        <f>IF(Table1[[#This Row],[Experience (Years)]]&lt;=2,"JUNIOR",IF(Table1[[#This Row],[Experience (Years)]]&lt;=5,"MID LEVEL","SENIOR"))</f>
        <v>MID LEVEL</v>
      </c>
      <c r="Y44" s="3">
        <v>67000</v>
      </c>
      <c r="Z44" s="3" t="str">
        <f>IF(AND(Table1[[#This Row],[Experience (Years)]]&gt;5,Table1[[#This Row],[Status]]="ACTIVE"),"YES","NO")</f>
        <v>NO</v>
      </c>
      <c r="AA44" s="3" t="s">
        <v>16</v>
      </c>
    </row>
    <row r="45" spans="1:27" ht="18" x14ac:dyDescent="0.35">
      <c r="A45" t="str">
        <f>RIGHT(Table1[[#This Row],[Emp ID]],4)</f>
        <v>P044</v>
      </c>
      <c r="B45" s="3" t="s">
        <v>131</v>
      </c>
      <c r="C45" s="3">
        <f>FIND("A",Table1[[#This Row],[1.upper case]])</f>
        <v>1</v>
      </c>
      <c r="D45" s="3">
        <f>LEN(Table1[[#This Row],[7.TRIM]])</f>
        <v>6</v>
      </c>
      <c r="E45" s="3" t="str">
        <f>TRIM(Table1[[#This Row],[1.upper case]])</f>
        <v>ANJALI</v>
      </c>
      <c r="F45" s="3" t="str">
        <f>UPPER(Table1[[#This Row],[Employee Name]])</f>
        <v>ANJALI</v>
      </c>
      <c r="G45" s="3" t="s">
        <v>32</v>
      </c>
      <c r="H45" s="3" t="str">
        <f>_xlfn.CONCAT(Table1[[#This Row],[7.TRIM]],"-",Table1[[#This Row],[DepaRtmenT]])</f>
        <v>ANJALI-IT</v>
      </c>
      <c r="I45" s="3" t="str">
        <f>PROPER(Table1[[#This Row],[DepaRtmenT]])</f>
        <v>It</v>
      </c>
      <c r="J45" s="3" t="str">
        <f>IF(OR(Table1[[#This Row],[DepaRtmenT]]="HR",Table1[[#This Row],[DepaRtmenT]]="FINANCE"),"YES","NO")</f>
        <v>NO</v>
      </c>
      <c r="K45" s="3" t="s">
        <v>19</v>
      </c>
      <c r="L45" s="3" t="str">
        <f>LEFT(Table1[[#This Row],[Designation]],5)</f>
        <v>Devel</v>
      </c>
      <c r="M45" s="3" t="s">
        <v>20</v>
      </c>
      <c r="N45" s="3" t="s">
        <v>21</v>
      </c>
      <c r="O45" s="3" t="s">
        <v>22</v>
      </c>
      <c r="P45" s="3" t="str">
        <f>LEFT(Table1[[#This Row],[City]],3)</f>
        <v>Tri</v>
      </c>
      <c r="Q45" s="3">
        <f>MONTH(Table1[[#This Row],[2.DD-MMM-YYY]])</f>
        <v>1</v>
      </c>
      <c r="R45" s="3" t="str">
        <f>TEXT(Table1[[#This Row],[Joining Date]],"DD-MMM-YYYY")</f>
        <v>01-Jan-2021</v>
      </c>
      <c r="S45" s="3">
        <f ca="1">NETWORKDAYS(Table1[[#This Row],[Joining Date]],TODAY())</f>
        <v>1505</v>
      </c>
      <c r="T45" s="3">
        <f>YEAR(Table1[[#This Row],[Joining Date]])</f>
        <v>2021</v>
      </c>
      <c r="U45" s="3" t="s">
        <v>132</v>
      </c>
      <c r="V45" s="3" t="str">
        <f>IF(Table1[[#This Row],[Experience (Years)]]&gt;5,"experience","fresher")</f>
        <v>fresher</v>
      </c>
      <c r="W45" s="3">
        <v>4</v>
      </c>
      <c r="X45" s="3" t="str">
        <f>IF(Table1[[#This Row],[Experience (Years)]]&lt;=2,"JUNIOR",IF(Table1[[#This Row],[Experience (Years)]]&lt;=5,"MID LEVEL","SENIOR"))</f>
        <v>MID LEVEL</v>
      </c>
      <c r="Y45" s="3">
        <v>70500</v>
      </c>
      <c r="Z45" s="3" t="str">
        <f>IF(AND(Table1[[#This Row],[Experience (Years)]]&gt;5,Table1[[#This Row],[Status]]="ACTIVE"),"YES","NO")</f>
        <v>NO</v>
      </c>
      <c r="AA45" s="3" t="s">
        <v>24</v>
      </c>
    </row>
    <row r="46" spans="1:27" ht="18" x14ac:dyDescent="0.35">
      <c r="A46" t="str">
        <f>RIGHT(Table1[[#This Row],[Emp ID]],4)</f>
        <v>P045</v>
      </c>
      <c r="B46" s="3" t="s">
        <v>133</v>
      </c>
      <c r="C46" s="3">
        <f>FIND("A",Table1[[#This Row],[1.upper case]])</f>
        <v>1</v>
      </c>
      <c r="D46" s="3">
        <f>LEN(Table1[[#This Row],[7.TRIM]])</f>
        <v>5</v>
      </c>
      <c r="E46" s="3" t="str">
        <f>TRIM(Table1[[#This Row],[1.upper case]])</f>
        <v>AKHIL</v>
      </c>
      <c r="F46" s="3" t="str">
        <f>UPPER(Table1[[#This Row],[Employee Name]])</f>
        <v>AKHIL</v>
      </c>
      <c r="G46" s="3" t="s">
        <v>36</v>
      </c>
      <c r="H46" s="3" t="str">
        <f>_xlfn.CONCAT(Table1[[#This Row],[7.TRIM]],"-",Table1[[#This Row],[DepaRtmenT]])</f>
        <v>AKHIL-Finance</v>
      </c>
      <c r="I46" s="3" t="str">
        <f>PROPER(Table1[[#This Row],[DepaRtmenT]])</f>
        <v>Finance</v>
      </c>
      <c r="J46" s="3" t="str">
        <f>IF(OR(Table1[[#This Row],[DepaRtmenT]]="HR",Table1[[#This Row],[DepaRtmenT]]="FINANCE"),"YES","NO")</f>
        <v>YES</v>
      </c>
      <c r="K46" s="3" t="s">
        <v>27</v>
      </c>
      <c r="L46" s="3" t="str">
        <f>LEFT(Table1[[#This Row],[Designation]],5)</f>
        <v>Assoc</v>
      </c>
      <c r="M46" s="3" t="s">
        <v>28</v>
      </c>
      <c r="N46" s="3" t="s">
        <v>13</v>
      </c>
      <c r="O46" s="3" t="s">
        <v>14</v>
      </c>
      <c r="P46" s="3" t="str">
        <f>LEFT(Table1[[#This Row],[City]],3)</f>
        <v>Koc</v>
      </c>
      <c r="Q46" s="3">
        <f>MONTH(Table1[[#This Row],[2.DD-MMM-YYY]])</f>
        <v>1</v>
      </c>
      <c r="R46" s="3" t="str">
        <f>TEXT(Table1[[#This Row],[Joining Date]],"DD-MMM-YYYY")</f>
        <v>18-Jan-2021</v>
      </c>
      <c r="S46" s="3">
        <f ca="1">NETWORKDAYS(Table1[[#This Row],[Joining Date]],TODAY())</f>
        <v>1494</v>
      </c>
      <c r="T46" s="3">
        <f>YEAR(Table1[[#This Row],[Joining Date]])</f>
        <v>2021</v>
      </c>
      <c r="U46" s="3" t="s">
        <v>134</v>
      </c>
      <c r="V46" s="3" t="str">
        <f>IF(Table1[[#This Row],[Experience (Years)]]&gt;5,"experience","fresher")</f>
        <v>fresher</v>
      </c>
      <c r="W46" s="3">
        <v>5</v>
      </c>
      <c r="X46" s="3" t="str">
        <f>IF(Table1[[#This Row],[Experience (Years)]]&lt;=2,"JUNIOR",IF(Table1[[#This Row],[Experience (Years)]]&lt;=5,"MID LEVEL","SENIOR"))</f>
        <v>MID LEVEL</v>
      </c>
      <c r="Y46" s="3">
        <v>74000</v>
      </c>
      <c r="Z46" s="3" t="str">
        <f>IF(AND(Table1[[#This Row],[Experience (Years)]]&gt;5,Table1[[#This Row],[Status]]="ACTIVE"),"YES","NO")</f>
        <v>NO</v>
      </c>
      <c r="AA46" s="3" t="s">
        <v>30</v>
      </c>
    </row>
    <row r="47" spans="1:27" ht="18" x14ac:dyDescent="0.35">
      <c r="A47" t="str">
        <f>RIGHT(Table1[[#This Row],[Emp ID]],4)</f>
        <v>P046</v>
      </c>
      <c r="B47" s="3" t="s">
        <v>135</v>
      </c>
      <c r="C47" s="3">
        <f>FIND("A",Table1[[#This Row],[1.upper case]])</f>
        <v>5</v>
      </c>
      <c r="D47" s="3">
        <f>LEN(Table1[[#This Row],[7.TRIM]])</f>
        <v>5</v>
      </c>
      <c r="E47" s="3" t="str">
        <f>TRIM(Table1[[#This Row],[1.upper case]])</f>
        <v>MEERA</v>
      </c>
      <c r="F47" s="3" t="str">
        <f>UPPER(Table1[[#This Row],[Employee Name]])</f>
        <v>MEERA</v>
      </c>
      <c r="G47" s="3" t="s">
        <v>40</v>
      </c>
      <c r="H47" s="3" t="str">
        <f>_xlfn.CONCAT(Table1[[#This Row],[7.TRIM]],"-",Table1[[#This Row],[DepaRtmenT]])</f>
        <v>MEERA-Sales</v>
      </c>
      <c r="I47" s="3" t="str">
        <f>PROPER(Table1[[#This Row],[DepaRtmenT]])</f>
        <v>Sales</v>
      </c>
      <c r="J47" s="3" t="str">
        <f>IF(OR(Table1[[#This Row],[DepaRtmenT]]="HR",Table1[[#This Row],[DepaRtmenT]]="FINANCE"),"YES","NO")</f>
        <v>NO</v>
      </c>
      <c r="K47" s="3" t="s">
        <v>33</v>
      </c>
      <c r="L47" s="3" t="str">
        <f>LEFT(Table1[[#This Row],[Designation]],5)</f>
        <v>Execu</v>
      </c>
      <c r="M47" s="3" t="s">
        <v>12</v>
      </c>
      <c r="N47" s="3" t="s">
        <v>21</v>
      </c>
      <c r="O47" s="3" t="s">
        <v>22</v>
      </c>
      <c r="P47" s="3" t="str">
        <f>LEFT(Table1[[#This Row],[City]],3)</f>
        <v>Tri</v>
      </c>
      <c r="Q47" s="3">
        <f>MONTH(Table1[[#This Row],[2.DD-MMM-YYY]])</f>
        <v>2</v>
      </c>
      <c r="R47" s="3" t="str">
        <f>TEXT(Table1[[#This Row],[Joining Date]],"DD-MMM-YYYY")</f>
        <v>04-Feb-2021</v>
      </c>
      <c r="S47" s="3">
        <f ca="1">NETWORKDAYS(Table1[[#This Row],[Joining Date]],TODAY())</f>
        <v>1481</v>
      </c>
      <c r="T47" s="3">
        <f>YEAR(Table1[[#This Row],[Joining Date]])</f>
        <v>2021</v>
      </c>
      <c r="U47" s="3" t="s">
        <v>136</v>
      </c>
      <c r="V47" s="3" t="str">
        <f>IF(Table1[[#This Row],[Experience (Years)]]&gt;5,"experience","fresher")</f>
        <v>experience</v>
      </c>
      <c r="W47" s="3">
        <v>6</v>
      </c>
      <c r="X47" s="3" t="str">
        <f>IF(Table1[[#This Row],[Experience (Years)]]&lt;=2,"JUNIOR",IF(Table1[[#This Row],[Experience (Years)]]&lt;=5,"MID LEVEL","SENIOR"))</f>
        <v>SENIOR</v>
      </c>
      <c r="Y47" s="3">
        <v>25000</v>
      </c>
      <c r="Z47" s="3" t="str">
        <f>IF(AND(Table1[[#This Row],[Experience (Years)]]&gt;5,Table1[[#This Row],[Status]]="ACTIVE"),"YES","NO")</f>
        <v>YES</v>
      </c>
      <c r="AA47" s="3" t="s">
        <v>16</v>
      </c>
    </row>
    <row r="48" spans="1:27" ht="18" x14ac:dyDescent="0.35">
      <c r="A48" t="str">
        <f>RIGHT(Table1[[#This Row],[Emp ID]],4)</f>
        <v>P047</v>
      </c>
      <c r="B48" s="3" t="s">
        <v>137</v>
      </c>
      <c r="C48" s="3" t="e">
        <f>FIND("A",Table1[[#This Row],[1.upper case]])</f>
        <v>#VALUE!</v>
      </c>
      <c r="D48" s="3">
        <f>LEN(Table1[[#This Row],[7.TRIM]])</f>
        <v>6</v>
      </c>
      <c r="E48" s="3" t="str">
        <f>TRIM(Table1[[#This Row],[1.upper case]])</f>
        <v>VISHNU</v>
      </c>
      <c r="F48" s="3" t="str">
        <f>UPPER(Table1[[#This Row],[Employee Name]])</f>
        <v>VISHNU</v>
      </c>
      <c r="G48" s="3" t="s">
        <v>44</v>
      </c>
      <c r="H48" s="3" t="str">
        <f>_xlfn.CONCAT(Table1[[#This Row],[7.TRIM]],"-",Table1[[#This Row],[DepaRtmenT]])</f>
        <v>VISHNU-Marketing</v>
      </c>
      <c r="I48" s="3" t="str">
        <f>PROPER(Table1[[#This Row],[DepaRtmenT]])</f>
        <v>Marketing</v>
      </c>
      <c r="J48" s="3" t="str">
        <f>IF(OR(Table1[[#This Row],[DepaRtmenT]]="HR",Table1[[#This Row],[DepaRtmenT]]="FINANCE"),"YES","NO")</f>
        <v>NO</v>
      </c>
      <c r="K48" s="3" t="s">
        <v>37</v>
      </c>
      <c r="L48" s="3" t="str">
        <f>LEFT(Table1[[#This Row],[Designation]],5)</f>
        <v>Devel</v>
      </c>
      <c r="M48" s="3" t="s">
        <v>20</v>
      </c>
      <c r="N48" s="3" t="s">
        <v>13</v>
      </c>
      <c r="O48" s="3" t="s">
        <v>14</v>
      </c>
      <c r="P48" s="3" t="str">
        <f>LEFT(Table1[[#This Row],[City]],3)</f>
        <v>Koc</v>
      </c>
      <c r="Q48" s="3">
        <f>MONTH(Table1[[#This Row],[2.DD-MMM-YYY]])</f>
        <v>2</v>
      </c>
      <c r="R48" s="3" t="str">
        <f>TEXT(Table1[[#This Row],[Joining Date]],"DD-MMM-YYYY")</f>
        <v>21-Feb-2021</v>
      </c>
      <c r="S48" s="3">
        <f ca="1">NETWORKDAYS(Table1[[#This Row],[Joining Date]],TODAY())</f>
        <v>1469</v>
      </c>
      <c r="T48" s="3">
        <f>YEAR(Table1[[#This Row],[Joining Date]])</f>
        <v>2021</v>
      </c>
      <c r="U48" s="3" t="s">
        <v>138</v>
      </c>
      <c r="V48" s="3" t="str">
        <f>IF(Table1[[#This Row],[Experience (Years)]]&gt;5,"experience","fresher")</f>
        <v>experience</v>
      </c>
      <c r="W48" s="3">
        <v>7</v>
      </c>
      <c r="X48" s="3" t="str">
        <f>IF(Table1[[#This Row],[Experience (Years)]]&lt;=2,"JUNIOR",IF(Table1[[#This Row],[Experience (Years)]]&lt;=5,"MID LEVEL","SENIOR"))</f>
        <v>SENIOR</v>
      </c>
      <c r="Y48" s="3">
        <v>28500</v>
      </c>
      <c r="Z48" s="3" t="str">
        <f>IF(AND(Table1[[#This Row],[Experience (Years)]]&gt;5,Table1[[#This Row],[Status]]="ACTIVE"),"YES","NO")</f>
        <v>NO</v>
      </c>
      <c r="AA48" s="3" t="s">
        <v>24</v>
      </c>
    </row>
    <row r="49" spans="1:27" ht="18" x14ac:dyDescent="0.35">
      <c r="A49" t="str">
        <f>RIGHT(Table1[[#This Row],[Emp ID]],4)</f>
        <v>P048</v>
      </c>
      <c r="B49" s="3" t="s">
        <v>139</v>
      </c>
      <c r="C49" s="3">
        <f>FIND("A",Table1[[#This Row],[1.upper case]])</f>
        <v>4</v>
      </c>
      <c r="D49" s="3">
        <f>LEN(Table1[[#This Row],[7.TRIM]])</f>
        <v>4</v>
      </c>
      <c r="E49" s="3" t="str">
        <f>TRIM(Table1[[#This Row],[1.upper case]])</f>
        <v>NEHA</v>
      </c>
      <c r="F49" s="3" t="str">
        <f>UPPER(Table1[[#This Row],[Employee Name]])</f>
        <v>NEHA</v>
      </c>
      <c r="G49" s="3" t="s">
        <v>47</v>
      </c>
      <c r="H49" s="3" t="str">
        <f>_xlfn.CONCAT(Table1[[#This Row],[7.TRIM]],"-",Table1[[#This Row],[DepaRtmenT]])</f>
        <v>NEHA-Operations</v>
      </c>
      <c r="I49" s="3" t="str">
        <f>PROPER(Table1[[#This Row],[DepaRtmenT]])</f>
        <v>Operations</v>
      </c>
      <c r="J49" s="3" t="str">
        <f>IF(OR(Table1[[#This Row],[DepaRtmenT]]="HR",Table1[[#This Row],[DepaRtmenT]]="FINANCE"),"YES","NO")</f>
        <v>NO</v>
      </c>
      <c r="K49" s="3" t="s">
        <v>41</v>
      </c>
      <c r="L49" s="3" t="str">
        <f>LEFT(Table1[[#This Row],[Designation]],5)</f>
        <v>Assoc</v>
      </c>
      <c r="M49" s="3" t="s">
        <v>28</v>
      </c>
      <c r="N49" s="3" t="s">
        <v>21</v>
      </c>
      <c r="O49" s="3" t="s">
        <v>22</v>
      </c>
      <c r="P49" s="3" t="str">
        <f>LEFT(Table1[[#This Row],[City]],3)</f>
        <v>Tri</v>
      </c>
      <c r="Q49" s="3">
        <f>MONTH(Table1[[#This Row],[2.DD-MMM-YYY]])</f>
        <v>3</v>
      </c>
      <c r="R49" s="3" t="str">
        <f>TEXT(Table1[[#This Row],[Joining Date]],"DD-MMM-YYYY")</f>
        <v>10-Mar-2021</v>
      </c>
      <c r="S49" s="3">
        <f ca="1">NETWORKDAYS(Table1[[#This Row],[Joining Date]],TODAY())</f>
        <v>1457</v>
      </c>
      <c r="T49" s="3">
        <f>YEAR(Table1[[#This Row],[Joining Date]])</f>
        <v>2021</v>
      </c>
      <c r="U49" s="3" t="s">
        <v>140</v>
      </c>
      <c r="V49" s="3" t="str">
        <f>IF(Table1[[#This Row],[Experience (Years)]]&gt;5,"experience","fresher")</f>
        <v>experience</v>
      </c>
      <c r="W49" s="3">
        <v>8</v>
      </c>
      <c r="X49" s="3" t="str">
        <f>IF(Table1[[#This Row],[Experience (Years)]]&lt;=2,"JUNIOR",IF(Table1[[#This Row],[Experience (Years)]]&lt;=5,"MID LEVEL","SENIOR"))</f>
        <v>SENIOR</v>
      </c>
      <c r="Y49" s="3">
        <v>32000</v>
      </c>
      <c r="Z49" s="3" t="str">
        <f>IF(AND(Table1[[#This Row],[Experience (Years)]]&gt;5,Table1[[#This Row],[Status]]="ACTIVE"),"YES","NO")</f>
        <v>NO</v>
      </c>
      <c r="AA49" s="3" t="s">
        <v>30</v>
      </c>
    </row>
    <row r="50" spans="1:27" ht="18" x14ac:dyDescent="0.35">
      <c r="A50" t="str">
        <f>RIGHT(Table1[[#This Row],[Emp ID]],4)</f>
        <v>P049</v>
      </c>
      <c r="B50" s="3" t="s">
        <v>141</v>
      </c>
      <c r="C50" s="3">
        <f>FIND("A",Table1[[#This Row],[1.upper case]])</f>
        <v>4</v>
      </c>
      <c r="D50" s="3">
        <f>LEN(Table1[[#This Row],[7.TRIM]])</f>
        <v>5</v>
      </c>
      <c r="E50" s="3" t="str">
        <f>TRIM(Table1[[#This Row],[1.upper case]])</f>
        <v>KIRAN</v>
      </c>
      <c r="F50" s="3" t="str">
        <f>UPPER(Table1[[#This Row],[Employee Name]])</f>
        <v>KIRAN</v>
      </c>
      <c r="G50" s="3" t="s">
        <v>50</v>
      </c>
      <c r="H50" s="3" t="str">
        <f>_xlfn.CONCAT(Table1[[#This Row],[7.TRIM]],"-",Table1[[#This Row],[DepaRtmenT]])</f>
        <v>KIRAN-HR</v>
      </c>
      <c r="I50" s="3" t="str">
        <f>PROPER(Table1[[#This Row],[DepaRtmenT]])</f>
        <v>Hr</v>
      </c>
      <c r="J50" s="3" t="str">
        <f>IF(OR(Table1[[#This Row],[DepaRtmenT]]="HR",Table1[[#This Row],[DepaRtmenT]]="FINANCE"),"YES","NO")</f>
        <v>YES</v>
      </c>
      <c r="K50" s="3" t="s">
        <v>11</v>
      </c>
      <c r="L50" s="3" t="str">
        <f>LEFT(Table1[[#This Row],[Designation]],5)</f>
        <v>Execu</v>
      </c>
      <c r="M50" s="3" t="s">
        <v>12</v>
      </c>
      <c r="N50" s="3" t="s">
        <v>13</v>
      </c>
      <c r="O50" s="3" t="s">
        <v>14</v>
      </c>
      <c r="P50" s="3" t="str">
        <f>LEFT(Table1[[#This Row],[City]],3)</f>
        <v>Koc</v>
      </c>
      <c r="Q50" s="3">
        <f>MONTH(Table1[[#This Row],[2.DD-MMM-YYY]])</f>
        <v>3</v>
      </c>
      <c r="R50" s="3" t="str">
        <f>TEXT(Table1[[#This Row],[Joining Date]],"DD-MMM-YYYY")</f>
        <v>27-Mar-2021</v>
      </c>
      <c r="S50" s="3">
        <f ca="1">NETWORKDAYS(Table1[[#This Row],[Joining Date]],TODAY())</f>
        <v>1444</v>
      </c>
      <c r="T50" s="3">
        <f>YEAR(Table1[[#This Row],[Joining Date]])</f>
        <v>2021</v>
      </c>
      <c r="U50" s="3" t="s">
        <v>142</v>
      </c>
      <c r="V50" s="3" t="str">
        <f>IF(Table1[[#This Row],[Experience (Years)]]&gt;5,"experience","fresher")</f>
        <v>fresher</v>
      </c>
      <c r="W50" s="3">
        <v>1</v>
      </c>
      <c r="X50" s="3" t="str">
        <f>IF(Table1[[#This Row],[Experience (Years)]]&lt;=2,"JUNIOR",IF(Table1[[#This Row],[Experience (Years)]]&lt;=5,"MID LEVEL","SENIOR"))</f>
        <v>JUNIOR</v>
      </c>
      <c r="Y50" s="3">
        <v>35500</v>
      </c>
      <c r="Z50" s="3" t="str">
        <f>IF(AND(Table1[[#This Row],[Experience (Years)]]&gt;5,Table1[[#This Row],[Status]]="ACTIVE"),"YES","NO")</f>
        <v>NO</v>
      </c>
      <c r="AA50" s="3" t="s">
        <v>16</v>
      </c>
    </row>
    <row r="51" spans="1:27" ht="18" x14ac:dyDescent="0.35">
      <c r="A51" t="str">
        <f>RIGHT(Table1[[#This Row],[Emp ID]],4)</f>
        <v>P050</v>
      </c>
      <c r="B51" s="3" t="s">
        <v>143</v>
      </c>
      <c r="C51" s="3">
        <f>FIND("A",Table1[[#This Row],[1.upper case]])</f>
        <v>5</v>
      </c>
      <c r="D51" s="3">
        <f>LEN(Table1[[#This Row],[7.TRIM]])</f>
        <v>5</v>
      </c>
      <c r="E51" s="3" t="str">
        <f>TRIM(Table1[[#This Row],[1.upper case]])</f>
        <v>SNEHA</v>
      </c>
      <c r="F51" s="3" t="str">
        <f>UPPER(Table1[[#This Row],[Employee Name]])</f>
        <v>SNEHA</v>
      </c>
      <c r="G51" s="3" t="s">
        <v>53</v>
      </c>
      <c r="H51" s="3" t="str">
        <f>_xlfn.CONCAT(Table1[[#This Row],[7.TRIM]],"-",Table1[[#This Row],[DepaRtmenT]])</f>
        <v>SNEHA-IT</v>
      </c>
      <c r="I51" s="3" t="str">
        <f>PROPER(Table1[[#This Row],[DepaRtmenT]])</f>
        <v>It</v>
      </c>
      <c r="J51" s="3" t="str">
        <f>IF(OR(Table1[[#This Row],[DepaRtmenT]]="HR",Table1[[#This Row],[DepaRtmenT]]="FINANCE"),"YES","NO")</f>
        <v>NO</v>
      </c>
      <c r="K51" s="3" t="s">
        <v>19</v>
      </c>
      <c r="L51" s="3" t="str">
        <f>LEFT(Table1[[#This Row],[Designation]],5)</f>
        <v>Devel</v>
      </c>
      <c r="M51" s="3" t="s">
        <v>20</v>
      </c>
      <c r="N51" s="3" t="s">
        <v>21</v>
      </c>
      <c r="O51" s="3" t="s">
        <v>22</v>
      </c>
      <c r="P51" s="3" t="str">
        <f>LEFT(Table1[[#This Row],[City]],3)</f>
        <v>Tri</v>
      </c>
      <c r="Q51" s="3">
        <f>MONTH(Table1[[#This Row],[2.DD-MMM-YYY]])</f>
        <v>4</v>
      </c>
      <c r="R51" s="3" t="str">
        <f>TEXT(Table1[[#This Row],[Joining Date]],"DD-MMM-YYYY")</f>
        <v>13-Apr-2021</v>
      </c>
      <c r="S51" s="3">
        <f ca="1">NETWORKDAYS(Table1[[#This Row],[Joining Date]],TODAY())</f>
        <v>1433</v>
      </c>
      <c r="T51" s="3">
        <f>YEAR(Table1[[#This Row],[Joining Date]])</f>
        <v>2021</v>
      </c>
      <c r="U51" s="3" t="s">
        <v>144</v>
      </c>
      <c r="V51" s="3" t="str">
        <f>IF(Table1[[#This Row],[Experience (Years)]]&gt;5,"experience","fresher")</f>
        <v>fresher</v>
      </c>
      <c r="W51" s="3">
        <v>2</v>
      </c>
      <c r="X51" s="3" t="str">
        <f>IF(Table1[[#This Row],[Experience (Years)]]&lt;=2,"JUNIOR",IF(Table1[[#This Row],[Experience (Years)]]&lt;=5,"MID LEVEL","SENIOR"))</f>
        <v>JUNIOR</v>
      </c>
      <c r="Y51" s="3">
        <v>39000</v>
      </c>
      <c r="Z51" s="3" t="str">
        <f>IF(AND(Table1[[#This Row],[Experience (Years)]]&gt;5,Table1[[#This Row],[Status]]="ACTIVE"),"YES","NO")</f>
        <v>NO</v>
      </c>
      <c r="AA51" s="3" t="s">
        <v>24</v>
      </c>
    </row>
    <row r="52" spans="1:27" ht="18" x14ac:dyDescent="0.35">
      <c r="A52" t="str">
        <f>RIGHT(Table1[[#This Row],[Emp ID]],4)</f>
        <v>P051</v>
      </c>
      <c r="B52" s="3" t="s">
        <v>145</v>
      </c>
      <c r="C52" s="3" t="e">
        <f>FIND("A",Table1[[#This Row],[1.upper case]])</f>
        <v>#VALUE!</v>
      </c>
      <c r="D52" s="3">
        <f>LEN(Table1[[#This Row],[7.TRIM]])</f>
        <v>5</v>
      </c>
      <c r="E52" s="3" t="str">
        <f>TRIM(Table1[[#This Row],[1.upper case]])</f>
        <v>ROHIT</v>
      </c>
      <c r="F52" s="3" t="str">
        <f>UPPER(Table1[[#This Row],[Employee Name]])</f>
        <v>ROHIT</v>
      </c>
      <c r="G52" s="3" t="s">
        <v>56</v>
      </c>
      <c r="H52" s="3" t="str">
        <f>_xlfn.CONCAT(Table1[[#This Row],[7.TRIM]],"-",Table1[[#This Row],[DepaRtmenT]])</f>
        <v>ROHIT-Finance</v>
      </c>
      <c r="I52" s="3" t="str">
        <f>PROPER(Table1[[#This Row],[DepaRtmenT]])</f>
        <v>Finance</v>
      </c>
      <c r="J52" s="3" t="str">
        <f>IF(OR(Table1[[#This Row],[DepaRtmenT]]="HR",Table1[[#This Row],[DepaRtmenT]]="FINANCE"),"YES","NO")</f>
        <v>YES</v>
      </c>
      <c r="K52" s="3" t="s">
        <v>27</v>
      </c>
      <c r="L52" s="3" t="str">
        <f>LEFT(Table1[[#This Row],[Designation]],5)</f>
        <v>Assoc</v>
      </c>
      <c r="M52" s="3" t="s">
        <v>28</v>
      </c>
      <c r="N52" s="3" t="s">
        <v>13</v>
      </c>
      <c r="O52" s="3" t="s">
        <v>14</v>
      </c>
      <c r="P52" s="3" t="str">
        <f>LEFT(Table1[[#This Row],[City]],3)</f>
        <v>Koc</v>
      </c>
      <c r="Q52" s="3">
        <f>MONTH(Table1[[#This Row],[2.DD-MMM-YYY]])</f>
        <v>4</v>
      </c>
      <c r="R52" s="3" t="str">
        <f>TEXT(Table1[[#This Row],[Joining Date]],"DD-MMM-YYYY")</f>
        <v>30-Apr-2021</v>
      </c>
      <c r="S52" s="3">
        <f ca="1">NETWORKDAYS(Table1[[#This Row],[Joining Date]],TODAY())</f>
        <v>1420</v>
      </c>
      <c r="T52" s="3">
        <f>YEAR(Table1[[#This Row],[Joining Date]])</f>
        <v>2021</v>
      </c>
      <c r="U52" s="3" t="s">
        <v>146</v>
      </c>
      <c r="V52" s="3" t="str">
        <f>IF(Table1[[#This Row],[Experience (Years)]]&gt;5,"experience","fresher")</f>
        <v>fresher</v>
      </c>
      <c r="W52" s="3">
        <v>3</v>
      </c>
      <c r="X52" s="3" t="str">
        <f>IF(Table1[[#This Row],[Experience (Years)]]&lt;=2,"JUNIOR",IF(Table1[[#This Row],[Experience (Years)]]&lt;=5,"MID LEVEL","SENIOR"))</f>
        <v>MID LEVEL</v>
      </c>
      <c r="Y52" s="3">
        <v>42500</v>
      </c>
      <c r="Z52" s="3" t="str">
        <f>IF(AND(Table1[[#This Row],[Experience (Years)]]&gt;5,Table1[[#This Row],[Status]]="ACTIVE"),"YES","NO")</f>
        <v>NO</v>
      </c>
      <c r="AA52" s="3" t="s">
        <v>30</v>
      </c>
    </row>
    <row r="53" spans="1:27" ht="18" x14ac:dyDescent="0.35">
      <c r="A53" t="str">
        <f>RIGHT(Table1[[#This Row],[Emp ID]],4)</f>
        <v>P052</v>
      </c>
      <c r="B53" s="3" t="s">
        <v>147</v>
      </c>
      <c r="C53" s="3">
        <f>FIND("A",Table1[[#This Row],[1.upper case]])</f>
        <v>4</v>
      </c>
      <c r="D53" s="3">
        <f>LEN(Table1[[#This Row],[7.TRIM]])</f>
        <v>4</v>
      </c>
      <c r="E53" s="3" t="str">
        <f>TRIM(Table1[[#This Row],[1.upper case]])</f>
        <v>DIYA</v>
      </c>
      <c r="F53" s="3" t="str">
        <f>UPPER(Table1[[#This Row],[Employee Name]])</f>
        <v>DIYA</v>
      </c>
      <c r="G53" s="3" t="s">
        <v>59</v>
      </c>
      <c r="H53" s="3" t="str">
        <f>_xlfn.CONCAT(Table1[[#This Row],[7.TRIM]],"-",Table1[[#This Row],[DepaRtmenT]])</f>
        <v>DIYA-Sales</v>
      </c>
      <c r="I53" s="3" t="str">
        <f>PROPER(Table1[[#This Row],[DepaRtmenT]])</f>
        <v>Sales</v>
      </c>
      <c r="J53" s="3" t="str">
        <f>IF(OR(Table1[[#This Row],[DepaRtmenT]]="HR",Table1[[#This Row],[DepaRtmenT]]="FINANCE"),"YES","NO")</f>
        <v>NO</v>
      </c>
      <c r="K53" s="3" t="s">
        <v>33</v>
      </c>
      <c r="L53" s="3" t="str">
        <f>LEFT(Table1[[#This Row],[Designation]],5)</f>
        <v>Execu</v>
      </c>
      <c r="M53" s="3" t="s">
        <v>12</v>
      </c>
      <c r="N53" s="3" t="s">
        <v>21</v>
      </c>
      <c r="O53" s="3" t="s">
        <v>22</v>
      </c>
      <c r="P53" s="3" t="str">
        <f>LEFT(Table1[[#This Row],[City]],3)</f>
        <v>Tri</v>
      </c>
      <c r="Q53" s="3">
        <f>MONTH(Table1[[#This Row],[2.DD-MMM-YYY]])</f>
        <v>5</v>
      </c>
      <c r="R53" s="3" t="str">
        <f>TEXT(Table1[[#This Row],[Joining Date]],"DD-MMM-YYYY")</f>
        <v>17-May-2021</v>
      </c>
      <c r="S53" s="3">
        <f ca="1">NETWORKDAYS(Table1[[#This Row],[Joining Date]],TODAY())</f>
        <v>1409</v>
      </c>
      <c r="T53" s="3">
        <f>YEAR(Table1[[#This Row],[Joining Date]])</f>
        <v>2021</v>
      </c>
      <c r="U53" s="3" t="s">
        <v>148</v>
      </c>
      <c r="V53" s="3" t="str">
        <f>IF(Table1[[#This Row],[Experience (Years)]]&gt;5,"experience","fresher")</f>
        <v>fresher</v>
      </c>
      <c r="W53" s="3">
        <v>4</v>
      </c>
      <c r="X53" s="3" t="str">
        <f>IF(Table1[[#This Row],[Experience (Years)]]&lt;=2,"JUNIOR",IF(Table1[[#This Row],[Experience (Years)]]&lt;=5,"MID LEVEL","SENIOR"))</f>
        <v>MID LEVEL</v>
      </c>
      <c r="Y53" s="3">
        <v>46000</v>
      </c>
      <c r="Z53" s="3" t="str">
        <f>IF(AND(Table1[[#This Row],[Experience (Years)]]&gt;5,Table1[[#This Row],[Status]]="ACTIVE"),"YES","NO")</f>
        <v>NO</v>
      </c>
      <c r="AA53" s="3" t="s">
        <v>16</v>
      </c>
    </row>
    <row r="54" spans="1:27" ht="18" x14ac:dyDescent="0.35">
      <c r="A54" t="str">
        <f>RIGHT(Table1[[#This Row],[Emp ID]],4)</f>
        <v>P053</v>
      </c>
      <c r="B54" s="3" t="s">
        <v>149</v>
      </c>
      <c r="C54" s="3">
        <f>FIND("A",Table1[[#This Row],[1.upper case]])</f>
        <v>1</v>
      </c>
      <c r="D54" s="3">
        <f>LEN(Table1[[#This Row],[7.TRIM]])</f>
        <v>5</v>
      </c>
      <c r="E54" s="3" t="str">
        <f>TRIM(Table1[[#This Row],[1.upper case]])</f>
        <v>ANOOP</v>
      </c>
      <c r="F54" s="3" t="str">
        <f>UPPER(Table1[[#This Row],[Employee Name]])</f>
        <v>ANOOP</v>
      </c>
      <c r="G54" s="3" t="s">
        <v>62</v>
      </c>
      <c r="H54" s="3" t="str">
        <f>_xlfn.CONCAT(Table1[[#This Row],[7.TRIM]],"-",Table1[[#This Row],[DepaRtmenT]])</f>
        <v>ANOOP-Marketing</v>
      </c>
      <c r="I54" s="3" t="str">
        <f>PROPER(Table1[[#This Row],[DepaRtmenT]])</f>
        <v>Marketing</v>
      </c>
      <c r="J54" s="3" t="str">
        <f>IF(OR(Table1[[#This Row],[DepaRtmenT]]="HR",Table1[[#This Row],[DepaRtmenT]]="FINANCE"),"YES","NO")</f>
        <v>NO</v>
      </c>
      <c r="K54" s="3" t="s">
        <v>37</v>
      </c>
      <c r="L54" s="3" t="str">
        <f>LEFT(Table1[[#This Row],[Designation]],5)</f>
        <v>Devel</v>
      </c>
      <c r="M54" s="3" t="s">
        <v>20</v>
      </c>
      <c r="N54" s="3" t="s">
        <v>13</v>
      </c>
      <c r="O54" s="3" t="s">
        <v>14</v>
      </c>
      <c r="P54" s="3" t="str">
        <f>LEFT(Table1[[#This Row],[City]],3)</f>
        <v>Koc</v>
      </c>
      <c r="Q54" s="3">
        <f>MONTH(Table1[[#This Row],[2.DD-MMM-YYY]])</f>
        <v>6</v>
      </c>
      <c r="R54" s="3" t="str">
        <f>TEXT(Table1[[#This Row],[Joining Date]],"DD-MMM-YYYY")</f>
        <v>03-Jun-2021</v>
      </c>
      <c r="S54" s="3">
        <f ca="1">NETWORKDAYS(Table1[[#This Row],[Joining Date]],TODAY())</f>
        <v>1396</v>
      </c>
      <c r="T54" s="3">
        <f>YEAR(Table1[[#This Row],[Joining Date]])</f>
        <v>2021</v>
      </c>
      <c r="U54" s="3" t="s">
        <v>150</v>
      </c>
      <c r="V54" s="3" t="str">
        <f>IF(Table1[[#This Row],[Experience (Years)]]&gt;5,"experience","fresher")</f>
        <v>fresher</v>
      </c>
      <c r="W54" s="3">
        <v>5</v>
      </c>
      <c r="X54" s="3" t="str">
        <f>IF(Table1[[#This Row],[Experience (Years)]]&lt;=2,"JUNIOR",IF(Table1[[#This Row],[Experience (Years)]]&lt;=5,"MID LEVEL","SENIOR"))</f>
        <v>MID LEVEL</v>
      </c>
      <c r="Y54" s="3">
        <v>49500</v>
      </c>
      <c r="Z54" s="3" t="str">
        <f>IF(AND(Table1[[#This Row],[Experience (Years)]]&gt;5,Table1[[#This Row],[Status]]="ACTIVE"),"YES","NO")</f>
        <v>NO</v>
      </c>
      <c r="AA54" s="3" t="s">
        <v>24</v>
      </c>
    </row>
    <row r="55" spans="1:27" ht="18" x14ac:dyDescent="0.35">
      <c r="A55" t="str">
        <f>RIGHT(Table1[[#This Row],[Emp ID]],4)</f>
        <v>P054</v>
      </c>
      <c r="B55" s="3" t="s">
        <v>151</v>
      </c>
      <c r="C55" s="3">
        <f>FIND("A",Table1[[#This Row],[1.upper case]])</f>
        <v>6</v>
      </c>
      <c r="D55" s="3">
        <f>LEN(Table1[[#This Row],[7.TRIM]])</f>
        <v>6</v>
      </c>
      <c r="E55" s="3" t="str">
        <f>TRIM(Table1[[#This Row],[1.upper case]])</f>
        <v>NITHYA</v>
      </c>
      <c r="F55" s="3" t="str">
        <f>UPPER(Table1[[#This Row],[Employee Name]])</f>
        <v>NITHYA</v>
      </c>
      <c r="G55" s="3" t="s">
        <v>65</v>
      </c>
      <c r="H55" s="3" t="str">
        <f>_xlfn.CONCAT(Table1[[#This Row],[7.TRIM]],"-",Table1[[#This Row],[DepaRtmenT]])</f>
        <v>NITHYA-Operations</v>
      </c>
      <c r="I55" s="3" t="str">
        <f>PROPER(Table1[[#This Row],[DepaRtmenT]])</f>
        <v>Operations</v>
      </c>
      <c r="J55" s="3" t="str">
        <f>IF(OR(Table1[[#This Row],[DepaRtmenT]]="HR",Table1[[#This Row],[DepaRtmenT]]="FINANCE"),"YES","NO")</f>
        <v>NO</v>
      </c>
      <c r="K55" s="3" t="s">
        <v>41</v>
      </c>
      <c r="L55" s="3" t="str">
        <f>LEFT(Table1[[#This Row],[Designation]],5)</f>
        <v>Assoc</v>
      </c>
      <c r="M55" s="3" t="s">
        <v>28</v>
      </c>
      <c r="N55" s="3" t="s">
        <v>21</v>
      </c>
      <c r="O55" s="3" t="s">
        <v>22</v>
      </c>
      <c r="P55" s="3" t="str">
        <f>LEFT(Table1[[#This Row],[City]],3)</f>
        <v>Tri</v>
      </c>
      <c r="Q55" s="3">
        <f>MONTH(Table1[[#This Row],[2.DD-MMM-YYY]])</f>
        <v>6</v>
      </c>
      <c r="R55" s="3" t="str">
        <f>TEXT(Table1[[#This Row],[Joining Date]],"DD-MMM-YYYY")</f>
        <v>20-Jun-2021</v>
      </c>
      <c r="S55" s="3">
        <f ca="1">NETWORKDAYS(Table1[[#This Row],[Joining Date]],TODAY())</f>
        <v>1384</v>
      </c>
      <c r="T55" s="3">
        <f>YEAR(Table1[[#This Row],[Joining Date]])</f>
        <v>2021</v>
      </c>
      <c r="U55" s="3" t="s">
        <v>152</v>
      </c>
      <c r="V55" s="3" t="str">
        <f>IF(Table1[[#This Row],[Experience (Years)]]&gt;5,"experience","fresher")</f>
        <v>experience</v>
      </c>
      <c r="W55" s="3">
        <v>6</v>
      </c>
      <c r="X55" s="3" t="str">
        <f>IF(Table1[[#This Row],[Experience (Years)]]&lt;=2,"JUNIOR",IF(Table1[[#This Row],[Experience (Years)]]&lt;=5,"MID LEVEL","SENIOR"))</f>
        <v>SENIOR</v>
      </c>
      <c r="Y55" s="3">
        <v>53000</v>
      </c>
      <c r="Z55" s="3" t="str">
        <f>IF(AND(Table1[[#This Row],[Experience (Years)]]&gt;5,Table1[[#This Row],[Status]]="ACTIVE"),"YES","NO")</f>
        <v>NO</v>
      </c>
      <c r="AA55" s="3" t="s">
        <v>30</v>
      </c>
    </row>
    <row r="56" spans="1:27" ht="18" x14ac:dyDescent="0.35">
      <c r="A56" t="str">
        <f>RIGHT(Table1[[#This Row],[Emp ID]],4)</f>
        <v>P055</v>
      </c>
      <c r="B56" s="3" t="s">
        <v>153</v>
      </c>
      <c r="C56" s="3">
        <f>FIND("A",Table1[[#This Row],[1.upper case]])</f>
        <v>1</v>
      </c>
      <c r="D56" s="3">
        <f>LEN(Table1[[#This Row],[7.TRIM]])</f>
        <v>6</v>
      </c>
      <c r="E56" s="3" t="str">
        <f>TRIM(Table1[[#This Row],[1.upper case]])</f>
        <v>ADITYA</v>
      </c>
      <c r="F56" s="3" t="str">
        <f>UPPER(Table1[[#This Row],[Employee Name]])</f>
        <v>ADITYA</v>
      </c>
      <c r="G56" s="3" t="s">
        <v>68</v>
      </c>
      <c r="H56" s="3" t="str">
        <f>_xlfn.CONCAT(Table1[[#This Row],[7.TRIM]],"-",Table1[[#This Row],[DepaRtmenT]])</f>
        <v>ADITYA-HR</v>
      </c>
      <c r="I56" s="3" t="str">
        <f>PROPER(Table1[[#This Row],[DepaRtmenT]])</f>
        <v>Hr</v>
      </c>
      <c r="J56" s="3" t="str">
        <f>IF(OR(Table1[[#This Row],[DepaRtmenT]]="HR",Table1[[#This Row],[DepaRtmenT]]="FINANCE"),"YES","NO")</f>
        <v>YES</v>
      </c>
      <c r="K56" s="3" t="s">
        <v>11</v>
      </c>
      <c r="L56" s="3" t="str">
        <f>LEFT(Table1[[#This Row],[Designation]],5)</f>
        <v>Execu</v>
      </c>
      <c r="M56" s="3" t="s">
        <v>12</v>
      </c>
      <c r="N56" s="3" t="s">
        <v>13</v>
      </c>
      <c r="O56" s="3" t="s">
        <v>14</v>
      </c>
      <c r="P56" s="3" t="str">
        <f>LEFT(Table1[[#This Row],[City]],3)</f>
        <v>Koc</v>
      </c>
      <c r="Q56" s="3">
        <f>MONTH(Table1[[#This Row],[2.DD-MMM-YYY]])</f>
        <v>7</v>
      </c>
      <c r="R56" s="3" t="str">
        <f>TEXT(Table1[[#This Row],[Joining Date]],"DD-MMM-YYYY")</f>
        <v>07-Jul-2021</v>
      </c>
      <c r="S56" s="3">
        <f ca="1">NETWORKDAYS(Table1[[#This Row],[Joining Date]],TODAY())</f>
        <v>1372</v>
      </c>
      <c r="T56" s="3">
        <f>YEAR(Table1[[#This Row],[Joining Date]])</f>
        <v>2021</v>
      </c>
      <c r="U56" s="3" t="s">
        <v>154</v>
      </c>
      <c r="V56" s="3" t="str">
        <f>IF(Table1[[#This Row],[Experience (Years)]]&gt;5,"experience","fresher")</f>
        <v>experience</v>
      </c>
      <c r="W56" s="3">
        <v>7</v>
      </c>
      <c r="X56" s="3" t="str">
        <f>IF(Table1[[#This Row],[Experience (Years)]]&lt;=2,"JUNIOR",IF(Table1[[#This Row],[Experience (Years)]]&lt;=5,"MID LEVEL","SENIOR"))</f>
        <v>SENIOR</v>
      </c>
      <c r="Y56" s="3">
        <v>56500</v>
      </c>
      <c r="Z56" s="3" t="str">
        <f>IF(AND(Table1[[#This Row],[Experience (Years)]]&gt;5,Table1[[#This Row],[Status]]="ACTIVE"),"YES","NO")</f>
        <v>YES</v>
      </c>
      <c r="AA56" s="3" t="s">
        <v>16</v>
      </c>
    </row>
    <row r="57" spans="1:27" ht="18" x14ac:dyDescent="0.35">
      <c r="A57" t="str">
        <f>RIGHT(Table1[[#This Row],[Emp ID]],4)</f>
        <v>P056</v>
      </c>
      <c r="B57" s="3" t="s">
        <v>155</v>
      </c>
      <c r="C57" s="3">
        <f>FIND("A",Table1[[#This Row],[1.upper case]])</f>
        <v>1</v>
      </c>
      <c r="D57" s="3">
        <f>LEN(Table1[[#This Row],[7.TRIM]])</f>
        <v>4</v>
      </c>
      <c r="E57" s="3" t="str">
        <f>TRIM(Table1[[#This Row],[1.upper case]])</f>
        <v>ASHA</v>
      </c>
      <c r="F57" s="3" t="str">
        <f>UPPER(Table1[[#This Row],[Employee Name]])</f>
        <v>ASHA</v>
      </c>
      <c r="G57" s="3" t="s">
        <v>71</v>
      </c>
      <c r="H57" s="3" t="str">
        <f>_xlfn.CONCAT(Table1[[#This Row],[7.TRIM]],"-",Table1[[#This Row],[DepaRtmenT]])</f>
        <v>ASHA-IT</v>
      </c>
      <c r="I57" s="3" t="str">
        <f>PROPER(Table1[[#This Row],[DepaRtmenT]])</f>
        <v>It</v>
      </c>
      <c r="J57" s="3" t="str">
        <f>IF(OR(Table1[[#This Row],[DepaRtmenT]]="HR",Table1[[#This Row],[DepaRtmenT]]="FINANCE"),"YES","NO")</f>
        <v>NO</v>
      </c>
      <c r="K57" s="3" t="s">
        <v>19</v>
      </c>
      <c r="L57" s="3" t="str">
        <f>LEFT(Table1[[#This Row],[Designation]],5)</f>
        <v>Devel</v>
      </c>
      <c r="M57" s="3" t="s">
        <v>20</v>
      </c>
      <c r="N57" s="3" t="s">
        <v>21</v>
      </c>
      <c r="O57" s="3" t="s">
        <v>22</v>
      </c>
      <c r="P57" s="3" t="str">
        <f>LEFT(Table1[[#This Row],[City]],3)</f>
        <v>Tri</v>
      </c>
      <c r="Q57" s="3">
        <f>MONTH(Table1[[#This Row],[2.DD-MMM-YYY]])</f>
        <v>7</v>
      </c>
      <c r="R57" s="3" t="str">
        <f>TEXT(Table1[[#This Row],[Joining Date]],"DD-MMM-YYYY")</f>
        <v>24-Jul-2021</v>
      </c>
      <c r="S57" s="3">
        <f ca="1">NETWORKDAYS(Table1[[#This Row],[Joining Date]],TODAY())</f>
        <v>1359</v>
      </c>
      <c r="T57" s="3">
        <f>YEAR(Table1[[#This Row],[Joining Date]])</f>
        <v>2021</v>
      </c>
      <c r="U57" s="3" t="s">
        <v>156</v>
      </c>
      <c r="V57" s="3" t="str">
        <f>IF(Table1[[#This Row],[Experience (Years)]]&gt;5,"experience","fresher")</f>
        <v>experience</v>
      </c>
      <c r="W57" s="3">
        <v>8</v>
      </c>
      <c r="X57" s="3" t="str">
        <f>IF(Table1[[#This Row],[Experience (Years)]]&lt;=2,"JUNIOR",IF(Table1[[#This Row],[Experience (Years)]]&lt;=5,"MID LEVEL","SENIOR"))</f>
        <v>SENIOR</v>
      </c>
      <c r="Y57" s="3">
        <v>60000</v>
      </c>
      <c r="Z57" s="3" t="str">
        <f>IF(AND(Table1[[#This Row],[Experience (Years)]]&gt;5,Table1[[#This Row],[Status]]="ACTIVE"),"YES","NO")</f>
        <v>NO</v>
      </c>
      <c r="AA57" s="3" t="s">
        <v>24</v>
      </c>
    </row>
    <row r="58" spans="1:27" ht="18" x14ac:dyDescent="0.35">
      <c r="A58" t="str">
        <f>RIGHT(Table1[[#This Row],[Emp ID]],4)</f>
        <v>P057</v>
      </c>
      <c r="B58" s="3" t="s">
        <v>157</v>
      </c>
      <c r="C58" s="3">
        <f>FIND("A",Table1[[#This Row],[1.upper case]])</f>
        <v>2</v>
      </c>
      <c r="D58" s="3">
        <f>LEN(Table1[[#This Row],[7.TRIM]])</f>
        <v>5</v>
      </c>
      <c r="E58" s="3" t="str">
        <f>TRIM(Table1[[#This Row],[1.upper case]])</f>
        <v>VARUN</v>
      </c>
      <c r="F58" s="3" t="str">
        <f>UPPER(Table1[[#This Row],[Employee Name]])</f>
        <v>VARUN</v>
      </c>
      <c r="G58" s="3" t="s">
        <v>74</v>
      </c>
      <c r="H58" s="3" t="str">
        <f>_xlfn.CONCAT(Table1[[#This Row],[7.TRIM]],"-",Table1[[#This Row],[DepaRtmenT]])</f>
        <v>VARUN-Finance</v>
      </c>
      <c r="I58" s="3" t="str">
        <f>PROPER(Table1[[#This Row],[DepaRtmenT]])</f>
        <v>Finance</v>
      </c>
      <c r="J58" s="3" t="str">
        <f>IF(OR(Table1[[#This Row],[DepaRtmenT]]="HR",Table1[[#This Row],[DepaRtmenT]]="FINANCE"),"YES","NO")</f>
        <v>YES</v>
      </c>
      <c r="K58" s="3" t="s">
        <v>27</v>
      </c>
      <c r="L58" s="3" t="str">
        <f>LEFT(Table1[[#This Row],[Designation]],5)</f>
        <v>Assoc</v>
      </c>
      <c r="M58" s="3" t="s">
        <v>28</v>
      </c>
      <c r="N58" s="3" t="s">
        <v>13</v>
      </c>
      <c r="O58" s="3" t="s">
        <v>14</v>
      </c>
      <c r="P58" s="3" t="str">
        <f>LEFT(Table1[[#This Row],[City]],3)</f>
        <v>Koc</v>
      </c>
      <c r="Q58" s="3">
        <f>MONTH(Table1[[#This Row],[2.DD-MMM-YYY]])</f>
        <v>8</v>
      </c>
      <c r="R58" s="3" t="str">
        <f>TEXT(Table1[[#This Row],[Joining Date]],"DD-MMM-YYYY")</f>
        <v>10-Aug-2021</v>
      </c>
      <c r="S58" s="3">
        <f ca="1">NETWORKDAYS(Table1[[#This Row],[Joining Date]],TODAY())</f>
        <v>1348</v>
      </c>
      <c r="T58" s="3">
        <f>YEAR(Table1[[#This Row],[Joining Date]])</f>
        <v>2021</v>
      </c>
      <c r="U58" s="3" t="s">
        <v>158</v>
      </c>
      <c r="V58" s="3" t="str">
        <f>IF(Table1[[#This Row],[Experience (Years)]]&gt;5,"experience","fresher")</f>
        <v>fresher</v>
      </c>
      <c r="W58" s="3">
        <v>1</v>
      </c>
      <c r="X58" s="3" t="str">
        <f>IF(Table1[[#This Row],[Experience (Years)]]&lt;=2,"JUNIOR",IF(Table1[[#This Row],[Experience (Years)]]&lt;=5,"MID LEVEL","SENIOR"))</f>
        <v>JUNIOR</v>
      </c>
      <c r="Y58" s="3">
        <v>63500</v>
      </c>
      <c r="Z58" s="3" t="str">
        <f>IF(AND(Table1[[#This Row],[Experience (Years)]]&gt;5,Table1[[#This Row],[Status]]="ACTIVE"),"YES","NO")</f>
        <v>NO</v>
      </c>
      <c r="AA58" s="3" t="s">
        <v>30</v>
      </c>
    </row>
    <row r="59" spans="1:27" ht="18" x14ac:dyDescent="0.35">
      <c r="A59" t="str">
        <f>RIGHT(Table1[[#This Row],[Emp ID]],4)</f>
        <v>P058</v>
      </c>
      <c r="B59" s="3" t="s">
        <v>159</v>
      </c>
      <c r="C59" s="3">
        <f>FIND("A",Table1[[#This Row],[1.upper case]])</f>
        <v>7</v>
      </c>
      <c r="D59" s="3">
        <f>LEN(Table1[[#This Row],[7.TRIM]])</f>
        <v>9</v>
      </c>
      <c r="E59" s="3" t="str">
        <f>TRIM(Table1[[#This Row],[1.upper case]])</f>
        <v>KEERTHANA</v>
      </c>
      <c r="F59" s="3" t="str">
        <f>UPPER(Table1[[#This Row],[Employee Name]])</f>
        <v>KEERTHANA</v>
      </c>
      <c r="G59" s="3" t="s">
        <v>77</v>
      </c>
      <c r="H59" s="3" t="str">
        <f>_xlfn.CONCAT(Table1[[#This Row],[7.TRIM]],"-",Table1[[#This Row],[DepaRtmenT]])</f>
        <v>KEERTHANA-Sales</v>
      </c>
      <c r="I59" s="3" t="str">
        <f>PROPER(Table1[[#This Row],[DepaRtmenT]])</f>
        <v>Sales</v>
      </c>
      <c r="J59" s="3" t="str">
        <f>IF(OR(Table1[[#This Row],[DepaRtmenT]]="HR",Table1[[#This Row],[DepaRtmenT]]="FINANCE"),"YES","NO")</f>
        <v>NO</v>
      </c>
      <c r="K59" s="3" t="s">
        <v>33</v>
      </c>
      <c r="L59" s="3" t="str">
        <f>LEFT(Table1[[#This Row],[Designation]],5)</f>
        <v>Execu</v>
      </c>
      <c r="M59" s="3" t="s">
        <v>12</v>
      </c>
      <c r="N59" s="3" t="s">
        <v>21</v>
      </c>
      <c r="O59" s="3" t="s">
        <v>22</v>
      </c>
      <c r="P59" s="3" t="str">
        <f>LEFT(Table1[[#This Row],[City]],3)</f>
        <v>Tri</v>
      </c>
      <c r="Q59" s="3">
        <f>MONTH(Table1[[#This Row],[2.DD-MMM-YYY]])</f>
        <v>8</v>
      </c>
      <c r="R59" s="3" t="str">
        <f>TEXT(Table1[[#This Row],[Joining Date]],"DD-MMM-YYYY")</f>
        <v>27-Aug-2021</v>
      </c>
      <c r="S59" s="3">
        <f ca="1">NETWORKDAYS(Table1[[#This Row],[Joining Date]],TODAY())</f>
        <v>1335</v>
      </c>
      <c r="T59" s="3">
        <f>YEAR(Table1[[#This Row],[Joining Date]])</f>
        <v>2021</v>
      </c>
      <c r="U59" s="3" t="s">
        <v>160</v>
      </c>
      <c r="V59" s="3" t="str">
        <f>IF(Table1[[#This Row],[Experience (Years)]]&gt;5,"experience","fresher")</f>
        <v>fresher</v>
      </c>
      <c r="W59" s="3">
        <v>2</v>
      </c>
      <c r="X59" s="3" t="str">
        <f>IF(Table1[[#This Row],[Experience (Years)]]&lt;=2,"JUNIOR",IF(Table1[[#This Row],[Experience (Years)]]&lt;=5,"MID LEVEL","SENIOR"))</f>
        <v>JUNIOR</v>
      </c>
      <c r="Y59" s="3">
        <v>67000</v>
      </c>
      <c r="Z59" s="3" t="str">
        <f>IF(AND(Table1[[#This Row],[Experience (Years)]]&gt;5,Table1[[#This Row],[Status]]="ACTIVE"),"YES","NO")</f>
        <v>NO</v>
      </c>
      <c r="AA59" s="3" t="s">
        <v>16</v>
      </c>
    </row>
    <row r="60" spans="1:27" ht="18" x14ac:dyDescent="0.35">
      <c r="A60" t="str">
        <f>RIGHT(Table1[[#This Row],[Emp ID]],4)</f>
        <v>P059</v>
      </c>
      <c r="B60" s="3" t="s">
        <v>161</v>
      </c>
      <c r="C60" s="3" t="e">
        <f>FIND("A",Table1[[#This Row],[1.upper case]])</f>
        <v>#VALUE!</v>
      </c>
      <c r="D60" s="3">
        <f>LEN(Table1[[#This Row],[7.TRIM]])</f>
        <v>4</v>
      </c>
      <c r="E60" s="3" t="str">
        <f>TRIM(Table1[[#This Row],[1.upper case]])</f>
        <v>JOEL</v>
      </c>
      <c r="F60" s="3" t="str">
        <f>UPPER(Table1[[#This Row],[Employee Name]])</f>
        <v>JOEL</v>
      </c>
      <c r="G60" s="3" t="s">
        <v>80</v>
      </c>
      <c r="H60" s="3" t="str">
        <f>_xlfn.CONCAT(Table1[[#This Row],[7.TRIM]],"-",Table1[[#This Row],[DepaRtmenT]])</f>
        <v>JOEL-Marketing</v>
      </c>
      <c r="I60" s="3" t="str">
        <f>PROPER(Table1[[#This Row],[DepaRtmenT]])</f>
        <v>Marketing</v>
      </c>
      <c r="J60" s="3" t="str">
        <f>IF(OR(Table1[[#This Row],[DepaRtmenT]]="HR",Table1[[#This Row],[DepaRtmenT]]="FINANCE"),"YES","NO")</f>
        <v>NO</v>
      </c>
      <c r="K60" s="3" t="s">
        <v>37</v>
      </c>
      <c r="L60" s="3" t="str">
        <f>LEFT(Table1[[#This Row],[Designation]],5)</f>
        <v>Devel</v>
      </c>
      <c r="M60" s="3" t="s">
        <v>20</v>
      </c>
      <c r="N60" s="3" t="s">
        <v>13</v>
      </c>
      <c r="O60" s="3" t="s">
        <v>14</v>
      </c>
      <c r="P60" s="3" t="str">
        <f>LEFT(Table1[[#This Row],[City]],3)</f>
        <v>Koc</v>
      </c>
      <c r="Q60" s="3">
        <f>MONTH(Table1[[#This Row],[2.DD-MMM-YYY]])</f>
        <v>9</v>
      </c>
      <c r="R60" s="3" t="str">
        <f>TEXT(Table1[[#This Row],[Joining Date]],"DD-MMM-YYYY")</f>
        <v>13-Sep-2021</v>
      </c>
      <c r="S60" s="3">
        <f ca="1">NETWORKDAYS(Table1[[#This Row],[Joining Date]],TODAY())</f>
        <v>1324</v>
      </c>
      <c r="T60" s="3">
        <f>YEAR(Table1[[#This Row],[Joining Date]])</f>
        <v>2021</v>
      </c>
      <c r="U60" s="3" t="s">
        <v>162</v>
      </c>
      <c r="V60" s="3" t="str">
        <f>IF(Table1[[#This Row],[Experience (Years)]]&gt;5,"experience","fresher")</f>
        <v>fresher</v>
      </c>
      <c r="W60" s="3">
        <v>3</v>
      </c>
      <c r="X60" s="3" t="str">
        <f>IF(Table1[[#This Row],[Experience (Years)]]&lt;=2,"JUNIOR",IF(Table1[[#This Row],[Experience (Years)]]&lt;=5,"MID LEVEL","SENIOR"))</f>
        <v>MID LEVEL</v>
      </c>
      <c r="Y60" s="3">
        <v>70500</v>
      </c>
      <c r="Z60" s="3" t="str">
        <f>IF(AND(Table1[[#This Row],[Experience (Years)]]&gt;5,Table1[[#This Row],[Status]]="ACTIVE"),"YES","NO")</f>
        <v>NO</v>
      </c>
      <c r="AA60" s="3" t="s">
        <v>24</v>
      </c>
    </row>
    <row r="61" spans="1:27" ht="18" x14ac:dyDescent="0.35">
      <c r="A61" t="str">
        <f>RIGHT(Table1[[#This Row],[Emp ID]],4)</f>
        <v>P060</v>
      </c>
      <c r="B61" s="3" t="s">
        <v>163</v>
      </c>
      <c r="C61" s="3">
        <f>FIND("A",Table1[[#This Row],[1.upper case]])</f>
        <v>1</v>
      </c>
      <c r="D61" s="3">
        <f>LEN(Table1[[#This Row],[7.TRIM]])</f>
        <v>6</v>
      </c>
      <c r="E61" s="3" t="str">
        <f>TRIM(Table1[[#This Row],[1.upper case]])</f>
        <v>ATHIRA</v>
      </c>
      <c r="F61" s="3" t="str">
        <f>UPPER(Table1[[#This Row],[Employee Name]])</f>
        <v>ATHIRA</v>
      </c>
      <c r="G61" s="3" t="s">
        <v>83</v>
      </c>
      <c r="H61" s="3" t="str">
        <f>_xlfn.CONCAT(Table1[[#This Row],[7.TRIM]],"-",Table1[[#This Row],[DepaRtmenT]])</f>
        <v>ATHIRA-Operations</v>
      </c>
      <c r="I61" s="3" t="str">
        <f>PROPER(Table1[[#This Row],[DepaRtmenT]])</f>
        <v>Operations</v>
      </c>
      <c r="J61" s="3" t="str">
        <f>IF(OR(Table1[[#This Row],[DepaRtmenT]]="HR",Table1[[#This Row],[DepaRtmenT]]="FINANCE"),"YES","NO")</f>
        <v>NO</v>
      </c>
      <c r="K61" s="3" t="s">
        <v>41</v>
      </c>
      <c r="L61" s="3" t="str">
        <f>LEFT(Table1[[#This Row],[Designation]],5)</f>
        <v>Assoc</v>
      </c>
      <c r="M61" s="3" t="s">
        <v>28</v>
      </c>
      <c r="N61" s="3" t="s">
        <v>21</v>
      </c>
      <c r="O61" s="3" t="s">
        <v>22</v>
      </c>
      <c r="P61" s="3" t="str">
        <f>LEFT(Table1[[#This Row],[City]],3)</f>
        <v>Tri</v>
      </c>
      <c r="Q61" s="3">
        <f>MONTH(Table1[[#This Row],[2.DD-MMM-YYY]])</f>
        <v>9</v>
      </c>
      <c r="R61" s="3" t="str">
        <f>TEXT(Table1[[#This Row],[Joining Date]],"DD-MMM-YYYY")</f>
        <v>30-Sep-2021</v>
      </c>
      <c r="S61" s="3">
        <f ca="1">NETWORKDAYS(Table1[[#This Row],[Joining Date]],TODAY())</f>
        <v>1311</v>
      </c>
      <c r="T61" s="3">
        <f>YEAR(Table1[[#This Row],[Joining Date]])</f>
        <v>2021</v>
      </c>
      <c r="U61" s="3" t="s">
        <v>164</v>
      </c>
      <c r="V61" s="3" t="str">
        <f>IF(Table1[[#This Row],[Experience (Years)]]&gt;5,"experience","fresher")</f>
        <v>fresher</v>
      </c>
      <c r="W61" s="3">
        <v>4</v>
      </c>
      <c r="X61" s="3" t="str">
        <f>IF(Table1[[#This Row],[Experience (Years)]]&lt;=2,"JUNIOR",IF(Table1[[#This Row],[Experience (Years)]]&lt;=5,"MID LEVEL","SENIOR"))</f>
        <v>MID LEVEL</v>
      </c>
      <c r="Y61" s="3">
        <v>74000</v>
      </c>
      <c r="Z61" s="3" t="str">
        <f>IF(AND(Table1[[#This Row],[Experience (Years)]]&gt;5,Table1[[#This Row],[Status]]="ACTIVE"),"YES","NO")</f>
        <v>NO</v>
      </c>
      <c r="AA61" s="3" t="s">
        <v>30</v>
      </c>
    </row>
    <row r="62" spans="1:27" ht="18" x14ac:dyDescent="0.35">
      <c r="A62" t="str">
        <f>RIGHT(Table1[[#This Row],[Emp ID]],4)</f>
        <v>P061</v>
      </c>
      <c r="B62" s="3" t="s">
        <v>165</v>
      </c>
      <c r="C62" s="3">
        <f>FIND("A",Table1[[#This Row],[1.upper case]])</f>
        <v>2</v>
      </c>
      <c r="D62" s="3">
        <f>LEN(Table1[[#This Row],[7.TRIM]])</f>
        <v>5</v>
      </c>
      <c r="E62" s="3" t="str">
        <f>TRIM(Table1[[#This Row],[1.upper case]])</f>
        <v>RAHUL</v>
      </c>
      <c r="F62" s="3" t="str">
        <f>UPPER(Table1[[#This Row],[Employee Name]])</f>
        <v>RAHUL</v>
      </c>
      <c r="G62" s="3" t="s">
        <v>10</v>
      </c>
      <c r="H62" s="3" t="str">
        <f>_xlfn.CONCAT(Table1[[#This Row],[7.TRIM]],"-",Table1[[#This Row],[DepaRtmenT]])</f>
        <v>RAHUL-HR</v>
      </c>
      <c r="I62" s="3" t="str">
        <f>PROPER(Table1[[#This Row],[DepaRtmenT]])</f>
        <v>Hr</v>
      </c>
      <c r="J62" s="3" t="str">
        <f>IF(OR(Table1[[#This Row],[DepaRtmenT]]="HR",Table1[[#This Row],[DepaRtmenT]]="FINANCE"),"YES","NO")</f>
        <v>YES</v>
      </c>
      <c r="K62" s="3" t="s">
        <v>11</v>
      </c>
      <c r="L62" s="3" t="str">
        <f>LEFT(Table1[[#This Row],[Designation]],5)</f>
        <v>Execu</v>
      </c>
      <c r="M62" s="3" t="s">
        <v>12</v>
      </c>
      <c r="N62" s="3" t="s">
        <v>13</v>
      </c>
      <c r="O62" s="3" t="s">
        <v>14</v>
      </c>
      <c r="P62" s="3" t="str">
        <f>LEFT(Table1[[#This Row],[City]],3)</f>
        <v>Koc</v>
      </c>
      <c r="Q62" s="3">
        <f>MONTH(Table1[[#This Row],[2.DD-MMM-YYY]])</f>
        <v>10</v>
      </c>
      <c r="R62" s="3" t="str">
        <f>TEXT(Table1[[#This Row],[Joining Date]],"DD-MMM-YYYY")</f>
        <v>17-Oct-2021</v>
      </c>
      <c r="S62" s="3">
        <f ca="1">NETWORKDAYS(Table1[[#This Row],[Joining Date]],TODAY())</f>
        <v>1299</v>
      </c>
      <c r="T62" s="3">
        <f>YEAR(Table1[[#This Row],[Joining Date]])</f>
        <v>2021</v>
      </c>
      <c r="U62" s="3" t="s">
        <v>166</v>
      </c>
      <c r="V62" s="3" t="str">
        <f>IF(Table1[[#This Row],[Experience (Years)]]&gt;5,"experience","fresher")</f>
        <v>fresher</v>
      </c>
      <c r="W62" s="3">
        <v>5</v>
      </c>
      <c r="X62" s="3" t="str">
        <f>IF(Table1[[#This Row],[Experience (Years)]]&lt;=2,"JUNIOR",IF(Table1[[#This Row],[Experience (Years)]]&lt;=5,"MID LEVEL","SENIOR"))</f>
        <v>MID LEVEL</v>
      </c>
      <c r="Y62" s="3">
        <v>25000</v>
      </c>
      <c r="Z62" s="3" t="str">
        <f>IF(AND(Table1[[#This Row],[Experience (Years)]]&gt;5,Table1[[#This Row],[Status]]="ACTIVE"),"YES","NO")</f>
        <v>NO</v>
      </c>
      <c r="AA62" s="3" t="s">
        <v>16</v>
      </c>
    </row>
    <row r="63" spans="1:27" ht="18" x14ac:dyDescent="0.35">
      <c r="A63" t="str">
        <f>RIGHT(Table1[[#This Row],[Emp ID]],4)</f>
        <v>P062</v>
      </c>
      <c r="B63" s="3" t="s">
        <v>167</v>
      </c>
      <c r="C63" s="3">
        <f>FIND("A",Table1[[#This Row],[1.upper case]])</f>
        <v>5</v>
      </c>
      <c r="D63" s="3">
        <f>LEN(Table1[[#This Row],[7.TRIM]])</f>
        <v>5</v>
      </c>
      <c r="E63" s="3" t="str">
        <f>TRIM(Table1[[#This Row],[1.upper case]])</f>
        <v>PRIYA</v>
      </c>
      <c r="F63" s="3" t="str">
        <f>UPPER(Table1[[#This Row],[Employee Name]])</f>
        <v>PRIYA</v>
      </c>
      <c r="G63" s="3" t="s">
        <v>18</v>
      </c>
      <c r="H63" s="3" t="str">
        <f>_xlfn.CONCAT(Table1[[#This Row],[7.TRIM]],"-",Table1[[#This Row],[DepaRtmenT]])</f>
        <v>PRIYA-IT</v>
      </c>
      <c r="I63" s="3" t="str">
        <f>PROPER(Table1[[#This Row],[DepaRtmenT]])</f>
        <v>It</v>
      </c>
      <c r="J63" s="3" t="str">
        <f>IF(OR(Table1[[#This Row],[DepaRtmenT]]="HR",Table1[[#This Row],[DepaRtmenT]]="FINANCE"),"YES","NO")</f>
        <v>NO</v>
      </c>
      <c r="K63" s="3" t="s">
        <v>19</v>
      </c>
      <c r="L63" s="3" t="str">
        <f>LEFT(Table1[[#This Row],[Designation]],5)</f>
        <v>Devel</v>
      </c>
      <c r="M63" s="3" t="s">
        <v>20</v>
      </c>
      <c r="N63" s="3" t="s">
        <v>21</v>
      </c>
      <c r="O63" s="3" t="s">
        <v>22</v>
      </c>
      <c r="P63" s="3" t="str">
        <f>LEFT(Table1[[#This Row],[City]],3)</f>
        <v>Tri</v>
      </c>
      <c r="Q63" s="3">
        <f>MONTH(Table1[[#This Row],[2.DD-MMM-YYY]])</f>
        <v>11</v>
      </c>
      <c r="R63" s="3" t="str">
        <f>TEXT(Table1[[#This Row],[Joining Date]],"DD-MMM-YYYY")</f>
        <v>03-Nov-2021</v>
      </c>
      <c r="S63" s="3">
        <f ca="1">NETWORKDAYS(Table1[[#This Row],[Joining Date]],TODAY())</f>
        <v>1287</v>
      </c>
      <c r="T63" s="3">
        <f>YEAR(Table1[[#This Row],[Joining Date]])</f>
        <v>2021</v>
      </c>
      <c r="U63" s="3" t="s">
        <v>168</v>
      </c>
      <c r="V63" s="3" t="str">
        <f>IF(Table1[[#This Row],[Experience (Years)]]&gt;5,"experience","fresher")</f>
        <v>experience</v>
      </c>
      <c r="W63" s="3">
        <v>6</v>
      </c>
      <c r="X63" s="3" t="str">
        <f>IF(Table1[[#This Row],[Experience (Years)]]&lt;=2,"JUNIOR",IF(Table1[[#This Row],[Experience (Years)]]&lt;=5,"MID LEVEL","SENIOR"))</f>
        <v>SENIOR</v>
      </c>
      <c r="Y63" s="3">
        <v>28500</v>
      </c>
      <c r="Z63" s="3" t="str">
        <f>IF(AND(Table1[[#This Row],[Experience (Years)]]&gt;5,Table1[[#This Row],[Status]]="ACTIVE"),"YES","NO")</f>
        <v>NO</v>
      </c>
      <c r="AA63" s="3" t="s">
        <v>24</v>
      </c>
    </row>
    <row r="64" spans="1:27" ht="18" x14ac:dyDescent="0.35">
      <c r="A64" t="str">
        <f>RIGHT(Table1[[#This Row],[Emp ID]],4)</f>
        <v>P063</v>
      </c>
      <c r="B64" s="3" t="s">
        <v>169</v>
      </c>
      <c r="C64" s="3">
        <f>FIND("A",Table1[[#This Row],[1.upper case]])</f>
        <v>1</v>
      </c>
      <c r="D64" s="3">
        <f>LEN(Table1[[#This Row],[7.TRIM]])</f>
        <v>5</v>
      </c>
      <c r="E64" s="3" t="str">
        <f>TRIM(Table1[[#This Row],[1.upper case]])</f>
        <v>ARJUN</v>
      </c>
      <c r="F64" s="3" t="str">
        <f>UPPER(Table1[[#This Row],[Employee Name]])</f>
        <v>ARJUN</v>
      </c>
      <c r="G64" s="3" t="s">
        <v>26</v>
      </c>
      <c r="H64" s="3" t="str">
        <f>_xlfn.CONCAT(Table1[[#This Row],[7.TRIM]],"-",Table1[[#This Row],[DepaRtmenT]])</f>
        <v>ARJUN-Finance</v>
      </c>
      <c r="I64" s="3" t="str">
        <f>PROPER(Table1[[#This Row],[DepaRtmenT]])</f>
        <v>Finance</v>
      </c>
      <c r="J64" s="3" t="str">
        <f>IF(OR(Table1[[#This Row],[DepaRtmenT]]="HR",Table1[[#This Row],[DepaRtmenT]]="FINANCE"),"YES","NO")</f>
        <v>YES</v>
      </c>
      <c r="K64" s="3" t="s">
        <v>27</v>
      </c>
      <c r="L64" s="3" t="str">
        <f>LEFT(Table1[[#This Row],[Designation]],5)</f>
        <v>Assoc</v>
      </c>
      <c r="M64" s="3" t="s">
        <v>28</v>
      </c>
      <c r="N64" s="3" t="s">
        <v>13</v>
      </c>
      <c r="O64" s="3" t="s">
        <v>14</v>
      </c>
      <c r="P64" s="3" t="str">
        <f>LEFT(Table1[[#This Row],[City]],3)</f>
        <v>Koc</v>
      </c>
      <c r="Q64" s="3">
        <f>MONTH(Table1[[#This Row],[2.DD-MMM-YYY]])</f>
        <v>11</v>
      </c>
      <c r="R64" s="3" t="str">
        <f>TEXT(Table1[[#This Row],[Joining Date]],"DD-MMM-YYYY")</f>
        <v>20-Nov-2021</v>
      </c>
      <c r="S64" s="3">
        <f ca="1">NETWORKDAYS(Table1[[#This Row],[Joining Date]],TODAY())</f>
        <v>1274</v>
      </c>
      <c r="T64" s="3">
        <f>YEAR(Table1[[#This Row],[Joining Date]])</f>
        <v>2021</v>
      </c>
      <c r="U64" s="3" t="s">
        <v>170</v>
      </c>
      <c r="V64" s="3" t="str">
        <f>IF(Table1[[#This Row],[Experience (Years)]]&gt;5,"experience","fresher")</f>
        <v>experience</v>
      </c>
      <c r="W64" s="3">
        <v>7</v>
      </c>
      <c r="X64" s="3" t="str">
        <f>IF(Table1[[#This Row],[Experience (Years)]]&lt;=2,"JUNIOR",IF(Table1[[#This Row],[Experience (Years)]]&lt;=5,"MID LEVEL","SENIOR"))</f>
        <v>SENIOR</v>
      </c>
      <c r="Y64" s="3">
        <v>32000</v>
      </c>
      <c r="Z64" s="3" t="str">
        <f>IF(AND(Table1[[#This Row],[Experience (Years)]]&gt;5,Table1[[#This Row],[Status]]="ACTIVE"),"YES","NO")</f>
        <v>NO</v>
      </c>
      <c r="AA64" s="3" t="s">
        <v>30</v>
      </c>
    </row>
    <row r="65" spans="1:27" ht="18" x14ac:dyDescent="0.35">
      <c r="A65" t="str">
        <f>RIGHT(Table1[[#This Row],[Emp ID]],4)</f>
        <v>P064</v>
      </c>
      <c r="B65" s="3" t="s">
        <v>171</v>
      </c>
      <c r="C65" s="3">
        <f>FIND("A",Table1[[#This Row],[1.upper case]])</f>
        <v>1</v>
      </c>
      <c r="D65" s="3">
        <f>LEN(Table1[[#This Row],[7.TRIM]])</f>
        <v>6</v>
      </c>
      <c r="E65" s="3" t="str">
        <f>TRIM(Table1[[#This Row],[1.upper case]])</f>
        <v>ANJALI</v>
      </c>
      <c r="F65" s="3" t="str">
        <f>UPPER(Table1[[#This Row],[Employee Name]])</f>
        <v>ANJALI</v>
      </c>
      <c r="G65" s="3" t="s">
        <v>32</v>
      </c>
      <c r="H65" s="3" t="str">
        <f>_xlfn.CONCAT(Table1[[#This Row],[7.TRIM]],"-",Table1[[#This Row],[DepaRtmenT]])</f>
        <v>ANJALI-Sales</v>
      </c>
      <c r="I65" s="3" t="str">
        <f>PROPER(Table1[[#This Row],[DepaRtmenT]])</f>
        <v>Sales</v>
      </c>
      <c r="J65" s="3" t="str">
        <f>IF(OR(Table1[[#This Row],[DepaRtmenT]]="HR",Table1[[#This Row],[DepaRtmenT]]="FINANCE"),"YES","NO")</f>
        <v>NO</v>
      </c>
      <c r="K65" s="3" t="s">
        <v>33</v>
      </c>
      <c r="L65" s="3" t="str">
        <f>LEFT(Table1[[#This Row],[Designation]],5)</f>
        <v>Execu</v>
      </c>
      <c r="M65" s="3" t="s">
        <v>12</v>
      </c>
      <c r="N65" s="3" t="s">
        <v>21</v>
      </c>
      <c r="O65" s="3" t="s">
        <v>22</v>
      </c>
      <c r="P65" s="3" t="str">
        <f>LEFT(Table1[[#This Row],[City]],3)</f>
        <v>Tri</v>
      </c>
      <c r="Q65" s="3">
        <f>MONTH(Table1[[#This Row],[2.DD-MMM-YYY]])</f>
        <v>12</v>
      </c>
      <c r="R65" s="3" t="str">
        <f>TEXT(Table1[[#This Row],[Joining Date]],"DD-MMM-YYYY")</f>
        <v>07-Dec-2021</v>
      </c>
      <c r="S65" s="3">
        <f ca="1">NETWORKDAYS(Table1[[#This Row],[Joining Date]],TODAY())</f>
        <v>1263</v>
      </c>
      <c r="T65" s="3">
        <f>YEAR(Table1[[#This Row],[Joining Date]])</f>
        <v>2021</v>
      </c>
      <c r="U65" s="3" t="s">
        <v>172</v>
      </c>
      <c r="V65" s="3" t="str">
        <f>IF(Table1[[#This Row],[Experience (Years)]]&gt;5,"experience","fresher")</f>
        <v>experience</v>
      </c>
      <c r="W65" s="3">
        <v>8</v>
      </c>
      <c r="X65" s="3" t="str">
        <f>IF(Table1[[#This Row],[Experience (Years)]]&lt;=2,"JUNIOR",IF(Table1[[#This Row],[Experience (Years)]]&lt;=5,"MID LEVEL","SENIOR"))</f>
        <v>SENIOR</v>
      </c>
      <c r="Y65" s="3">
        <v>35500</v>
      </c>
      <c r="Z65" s="3" t="str">
        <f>IF(AND(Table1[[#This Row],[Experience (Years)]]&gt;5,Table1[[#This Row],[Status]]="ACTIVE"),"YES","NO")</f>
        <v>YES</v>
      </c>
      <c r="AA65" s="3" t="s">
        <v>16</v>
      </c>
    </row>
    <row r="66" spans="1:27" ht="18" x14ac:dyDescent="0.35">
      <c r="A66" t="str">
        <f>RIGHT(Table1[[#This Row],[Emp ID]],4)</f>
        <v>P065</v>
      </c>
      <c r="B66" s="3" t="s">
        <v>173</v>
      </c>
      <c r="C66" s="3">
        <f>FIND("A",Table1[[#This Row],[1.upper case]])</f>
        <v>1</v>
      </c>
      <c r="D66" s="3">
        <f>LEN(Table1[[#This Row],[7.TRIM]])</f>
        <v>5</v>
      </c>
      <c r="E66" s="3" t="str">
        <f>TRIM(Table1[[#This Row],[1.upper case]])</f>
        <v>AKHIL</v>
      </c>
      <c r="F66" s="3" t="str">
        <f>UPPER(Table1[[#This Row],[Employee Name]])</f>
        <v>AKHIL</v>
      </c>
      <c r="G66" s="3" t="s">
        <v>36</v>
      </c>
      <c r="H66" s="3" t="str">
        <f>_xlfn.CONCAT(Table1[[#This Row],[7.TRIM]],"-",Table1[[#This Row],[DepaRtmenT]])</f>
        <v>AKHIL-Marketing</v>
      </c>
      <c r="I66" s="3" t="str">
        <f>PROPER(Table1[[#This Row],[DepaRtmenT]])</f>
        <v>Marketing</v>
      </c>
      <c r="J66" s="3" t="str">
        <f>IF(OR(Table1[[#This Row],[DepaRtmenT]]="HR",Table1[[#This Row],[DepaRtmenT]]="FINANCE"),"YES","NO")</f>
        <v>NO</v>
      </c>
      <c r="K66" s="3" t="s">
        <v>37</v>
      </c>
      <c r="L66" s="3" t="str">
        <f>LEFT(Table1[[#This Row],[Designation]],5)</f>
        <v>Devel</v>
      </c>
      <c r="M66" s="3" t="s">
        <v>20</v>
      </c>
      <c r="N66" s="3" t="s">
        <v>13</v>
      </c>
      <c r="O66" s="3" t="s">
        <v>14</v>
      </c>
      <c r="P66" s="3" t="str">
        <f>LEFT(Table1[[#This Row],[City]],3)</f>
        <v>Koc</v>
      </c>
      <c r="Q66" s="3">
        <f>MONTH(Table1[[#This Row],[2.DD-MMM-YYY]])</f>
        <v>12</v>
      </c>
      <c r="R66" s="3" t="str">
        <f>TEXT(Table1[[#This Row],[Joining Date]],"DD-MMM-YYYY")</f>
        <v>24-Dec-2021</v>
      </c>
      <c r="S66" s="3">
        <f ca="1">NETWORKDAYS(Table1[[#This Row],[Joining Date]],TODAY())</f>
        <v>1250</v>
      </c>
      <c r="T66" s="3">
        <f>YEAR(Table1[[#This Row],[Joining Date]])</f>
        <v>2021</v>
      </c>
      <c r="U66" s="3" t="s">
        <v>174</v>
      </c>
      <c r="V66" s="3" t="str">
        <f>IF(Table1[[#This Row],[Experience (Years)]]&gt;5,"experience","fresher")</f>
        <v>fresher</v>
      </c>
      <c r="W66" s="3">
        <v>1</v>
      </c>
      <c r="X66" s="3" t="str">
        <f>IF(Table1[[#This Row],[Experience (Years)]]&lt;=2,"JUNIOR",IF(Table1[[#This Row],[Experience (Years)]]&lt;=5,"MID LEVEL","SENIOR"))</f>
        <v>JUNIOR</v>
      </c>
      <c r="Y66" s="3">
        <v>39000</v>
      </c>
      <c r="Z66" s="3" t="str">
        <f>IF(AND(Table1[[#This Row],[Experience (Years)]]&gt;5,Table1[[#This Row],[Status]]="ACTIVE"),"YES","NO")</f>
        <v>NO</v>
      </c>
      <c r="AA66" s="3" t="s">
        <v>24</v>
      </c>
    </row>
    <row r="67" spans="1:27" ht="18" x14ac:dyDescent="0.35">
      <c r="A67" t="str">
        <f>RIGHT(Table1[[#This Row],[Emp ID]],4)</f>
        <v>P066</v>
      </c>
      <c r="B67" s="3" t="s">
        <v>175</v>
      </c>
      <c r="C67" s="3">
        <f>FIND("A",Table1[[#This Row],[1.upper case]])</f>
        <v>5</v>
      </c>
      <c r="D67" s="3">
        <f>LEN(Table1[[#This Row],[7.TRIM]])</f>
        <v>5</v>
      </c>
      <c r="E67" s="3" t="str">
        <f>TRIM(Table1[[#This Row],[1.upper case]])</f>
        <v>MEERA</v>
      </c>
      <c r="F67" s="3" t="str">
        <f>UPPER(Table1[[#This Row],[Employee Name]])</f>
        <v>MEERA</v>
      </c>
      <c r="G67" s="3" t="s">
        <v>40</v>
      </c>
      <c r="H67" s="3" t="str">
        <f>_xlfn.CONCAT(Table1[[#This Row],[7.TRIM]],"-",Table1[[#This Row],[DepaRtmenT]])</f>
        <v>MEERA-Operations</v>
      </c>
      <c r="I67" s="3" t="str">
        <f>PROPER(Table1[[#This Row],[DepaRtmenT]])</f>
        <v>Operations</v>
      </c>
      <c r="J67" s="3" t="str">
        <f>IF(OR(Table1[[#This Row],[DepaRtmenT]]="HR",Table1[[#This Row],[DepaRtmenT]]="FINANCE"),"YES","NO")</f>
        <v>NO</v>
      </c>
      <c r="K67" s="3" t="s">
        <v>41</v>
      </c>
      <c r="L67" s="3" t="str">
        <f>LEFT(Table1[[#This Row],[Designation]],5)</f>
        <v>Assoc</v>
      </c>
      <c r="M67" s="3" t="s">
        <v>28</v>
      </c>
      <c r="N67" s="3" t="s">
        <v>21</v>
      </c>
      <c r="O67" s="3" t="s">
        <v>22</v>
      </c>
      <c r="P67" s="3" t="str">
        <f>LEFT(Table1[[#This Row],[City]],3)</f>
        <v>Tri</v>
      </c>
      <c r="Q67" s="3">
        <f>MONTH(Table1[[#This Row],[2.DD-MMM-YYY]])</f>
        <v>1</v>
      </c>
      <c r="R67" s="3" t="str">
        <f>TEXT(Table1[[#This Row],[Joining Date]],"DD-MMM-YYYY")</f>
        <v>10-Jan-2022</v>
      </c>
      <c r="S67" s="3">
        <f ca="1">NETWORKDAYS(Table1[[#This Row],[Joining Date]],TODAY())</f>
        <v>1239</v>
      </c>
      <c r="T67" s="3">
        <f>YEAR(Table1[[#This Row],[Joining Date]])</f>
        <v>2022</v>
      </c>
      <c r="U67" s="3" t="s">
        <v>176</v>
      </c>
      <c r="V67" s="3" t="str">
        <f>IF(Table1[[#This Row],[Experience (Years)]]&gt;5,"experience","fresher")</f>
        <v>fresher</v>
      </c>
      <c r="W67" s="3">
        <v>2</v>
      </c>
      <c r="X67" s="3" t="str">
        <f>IF(Table1[[#This Row],[Experience (Years)]]&lt;=2,"JUNIOR",IF(Table1[[#This Row],[Experience (Years)]]&lt;=5,"MID LEVEL","SENIOR"))</f>
        <v>JUNIOR</v>
      </c>
      <c r="Y67" s="3">
        <v>42500</v>
      </c>
      <c r="Z67" s="3" t="str">
        <f>IF(AND(Table1[[#This Row],[Experience (Years)]]&gt;5,Table1[[#This Row],[Status]]="ACTIVE"),"YES","NO")</f>
        <v>NO</v>
      </c>
      <c r="AA67" s="3" t="s">
        <v>30</v>
      </c>
    </row>
    <row r="68" spans="1:27" ht="18" x14ac:dyDescent="0.35">
      <c r="A68" t="str">
        <f>RIGHT(Table1[[#This Row],[Emp ID]],4)</f>
        <v>P067</v>
      </c>
      <c r="B68" s="3" t="s">
        <v>177</v>
      </c>
      <c r="C68" s="3" t="e">
        <f>FIND("A",Table1[[#This Row],[1.upper case]])</f>
        <v>#VALUE!</v>
      </c>
      <c r="D68" s="3">
        <f>LEN(Table1[[#This Row],[7.TRIM]])</f>
        <v>6</v>
      </c>
      <c r="E68" s="3" t="str">
        <f>TRIM(Table1[[#This Row],[1.upper case]])</f>
        <v>VISHNU</v>
      </c>
      <c r="F68" s="3" t="str">
        <f>UPPER(Table1[[#This Row],[Employee Name]])</f>
        <v>VISHNU</v>
      </c>
      <c r="G68" s="3" t="s">
        <v>44</v>
      </c>
      <c r="H68" s="3" t="str">
        <f>_xlfn.CONCAT(Table1[[#This Row],[7.TRIM]],"-",Table1[[#This Row],[DepaRtmenT]])</f>
        <v>VISHNU-HR</v>
      </c>
      <c r="I68" s="3" t="str">
        <f>PROPER(Table1[[#This Row],[DepaRtmenT]])</f>
        <v>Hr</v>
      </c>
      <c r="J68" s="3" t="str">
        <f>IF(OR(Table1[[#This Row],[DepaRtmenT]]="HR",Table1[[#This Row],[DepaRtmenT]]="FINANCE"),"YES","NO")</f>
        <v>YES</v>
      </c>
      <c r="K68" s="3" t="s">
        <v>11</v>
      </c>
      <c r="L68" s="3" t="str">
        <f>LEFT(Table1[[#This Row],[Designation]],5)</f>
        <v>Execu</v>
      </c>
      <c r="M68" s="3" t="s">
        <v>12</v>
      </c>
      <c r="N68" s="3" t="s">
        <v>13</v>
      </c>
      <c r="O68" s="3" t="s">
        <v>14</v>
      </c>
      <c r="P68" s="3" t="str">
        <f>LEFT(Table1[[#This Row],[City]],3)</f>
        <v>Koc</v>
      </c>
      <c r="Q68" s="3">
        <f>MONTH(Table1[[#This Row],[2.DD-MMM-YYY]])</f>
        <v>1</v>
      </c>
      <c r="R68" s="3" t="str">
        <f>TEXT(Table1[[#This Row],[Joining Date]],"DD-MMM-YYYY")</f>
        <v>27-Jan-2022</v>
      </c>
      <c r="S68" s="3">
        <f ca="1">NETWORKDAYS(Table1[[#This Row],[Joining Date]],TODAY())</f>
        <v>1226</v>
      </c>
      <c r="T68" s="3">
        <f>YEAR(Table1[[#This Row],[Joining Date]])</f>
        <v>2022</v>
      </c>
      <c r="U68" s="3" t="s">
        <v>178</v>
      </c>
      <c r="V68" s="3" t="str">
        <f>IF(Table1[[#This Row],[Experience (Years)]]&gt;5,"experience","fresher")</f>
        <v>fresher</v>
      </c>
      <c r="W68" s="3">
        <v>3</v>
      </c>
      <c r="X68" s="3" t="str">
        <f>IF(Table1[[#This Row],[Experience (Years)]]&lt;=2,"JUNIOR",IF(Table1[[#This Row],[Experience (Years)]]&lt;=5,"MID LEVEL","SENIOR"))</f>
        <v>MID LEVEL</v>
      </c>
      <c r="Y68" s="3">
        <v>46000</v>
      </c>
      <c r="Z68" s="3" t="str">
        <f>IF(AND(Table1[[#This Row],[Experience (Years)]]&gt;5,Table1[[#This Row],[Status]]="ACTIVE"),"YES","NO")</f>
        <v>NO</v>
      </c>
      <c r="AA68" s="3" t="s">
        <v>16</v>
      </c>
    </row>
    <row r="69" spans="1:27" ht="18" x14ac:dyDescent="0.35">
      <c r="A69" t="str">
        <f>RIGHT(Table1[[#This Row],[Emp ID]],4)</f>
        <v>P068</v>
      </c>
      <c r="B69" s="3" t="s">
        <v>179</v>
      </c>
      <c r="C69" s="3">
        <f>FIND("A",Table1[[#This Row],[1.upper case]])</f>
        <v>4</v>
      </c>
      <c r="D69" s="3">
        <f>LEN(Table1[[#This Row],[7.TRIM]])</f>
        <v>4</v>
      </c>
      <c r="E69" s="3" t="str">
        <f>TRIM(Table1[[#This Row],[1.upper case]])</f>
        <v>NEHA</v>
      </c>
      <c r="F69" s="3" t="str">
        <f>UPPER(Table1[[#This Row],[Employee Name]])</f>
        <v>NEHA</v>
      </c>
      <c r="G69" s="3" t="s">
        <v>47</v>
      </c>
      <c r="H69" s="3" t="str">
        <f>_xlfn.CONCAT(Table1[[#This Row],[7.TRIM]],"-",Table1[[#This Row],[DepaRtmenT]])</f>
        <v>NEHA-IT</v>
      </c>
      <c r="I69" s="3" t="str">
        <f>PROPER(Table1[[#This Row],[DepaRtmenT]])</f>
        <v>It</v>
      </c>
      <c r="J69" s="3" t="str">
        <f>IF(OR(Table1[[#This Row],[DepaRtmenT]]="HR",Table1[[#This Row],[DepaRtmenT]]="FINANCE"),"YES","NO")</f>
        <v>NO</v>
      </c>
      <c r="K69" s="3" t="s">
        <v>19</v>
      </c>
      <c r="L69" s="3" t="str">
        <f>LEFT(Table1[[#This Row],[Designation]],5)</f>
        <v>Devel</v>
      </c>
      <c r="M69" s="3" t="s">
        <v>20</v>
      </c>
      <c r="N69" s="3" t="s">
        <v>21</v>
      </c>
      <c r="O69" s="3" t="s">
        <v>22</v>
      </c>
      <c r="P69" s="3" t="str">
        <f>LEFT(Table1[[#This Row],[City]],3)</f>
        <v>Tri</v>
      </c>
      <c r="Q69" s="3">
        <f>MONTH(Table1[[#This Row],[2.DD-MMM-YYY]])</f>
        <v>2</v>
      </c>
      <c r="R69" s="3" t="str">
        <f>TEXT(Table1[[#This Row],[Joining Date]],"DD-MMM-YYYY")</f>
        <v>13-Feb-2022</v>
      </c>
      <c r="S69" s="3">
        <f ca="1">NETWORKDAYS(Table1[[#This Row],[Joining Date]],TODAY())</f>
        <v>1214</v>
      </c>
      <c r="T69" s="3">
        <f>YEAR(Table1[[#This Row],[Joining Date]])</f>
        <v>2022</v>
      </c>
      <c r="U69" s="3" t="s">
        <v>180</v>
      </c>
      <c r="V69" s="3" t="str">
        <f>IF(Table1[[#This Row],[Experience (Years)]]&gt;5,"experience","fresher")</f>
        <v>fresher</v>
      </c>
      <c r="W69" s="3">
        <v>4</v>
      </c>
      <c r="X69" s="3" t="str">
        <f>IF(Table1[[#This Row],[Experience (Years)]]&lt;=2,"JUNIOR",IF(Table1[[#This Row],[Experience (Years)]]&lt;=5,"MID LEVEL","SENIOR"))</f>
        <v>MID LEVEL</v>
      </c>
      <c r="Y69" s="3">
        <v>49500</v>
      </c>
      <c r="Z69" s="3" t="str">
        <f>IF(AND(Table1[[#This Row],[Experience (Years)]]&gt;5,Table1[[#This Row],[Status]]="ACTIVE"),"YES","NO")</f>
        <v>NO</v>
      </c>
      <c r="AA69" s="3" t="s">
        <v>24</v>
      </c>
    </row>
    <row r="70" spans="1:27" ht="18" x14ac:dyDescent="0.35">
      <c r="A70" t="str">
        <f>RIGHT(Table1[[#This Row],[Emp ID]],4)</f>
        <v>P069</v>
      </c>
      <c r="B70" s="3" t="s">
        <v>181</v>
      </c>
      <c r="C70" s="3">
        <f>FIND("A",Table1[[#This Row],[1.upper case]])</f>
        <v>4</v>
      </c>
      <c r="D70" s="3">
        <f>LEN(Table1[[#This Row],[7.TRIM]])</f>
        <v>5</v>
      </c>
      <c r="E70" s="3" t="str">
        <f>TRIM(Table1[[#This Row],[1.upper case]])</f>
        <v>KIRAN</v>
      </c>
      <c r="F70" s="3" t="str">
        <f>UPPER(Table1[[#This Row],[Employee Name]])</f>
        <v>KIRAN</v>
      </c>
      <c r="G70" s="3" t="s">
        <v>50</v>
      </c>
      <c r="H70" s="3" t="str">
        <f>_xlfn.CONCAT(Table1[[#This Row],[7.TRIM]],"-",Table1[[#This Row],[DepaRtmenT]])</f>
        <v>KIRAN-Finance</v>
      </c>
      <c r="I70" s="3" t="str">
        <f>PROPER(Table1[[#This Row],[DepaRtmenT]])</f>
        <v>Finance</v>
      </c>
      <c r="J70" s="3" t="str">
        <f>IF(OR(Table1[[#This Row],[DepaRtmenT]]="HR",Table1[[#This Row],[DepaRtmenT]]="FINANCE"),"YES","NO")</f>
        <v>YES</v>
      </c>
      <c r="K70" s="3" t="s">
        <v>27</v>
      </c>
      <c r="L70" s="3" t="str">
        <f>LEFT(Table1[[#This Row],[Designation]],5)</f>
        <v>Assoc</v>
      </c>
      <c r="M70" s="3" t="s">
        <v>28</v>
      </c>
      <c r="N70" s="3" t="s">
        <v>13</v>
      </c>
      <c r="O70" s="3" t="s">
        <v>14</v>
      </c>
      <c r="P70" s="3" t="str">
        <f>LEFT(Table1[[#This Row],[City]],3)</f>
        <v>Koc</v>
      </c>
      <c r="Q70" s="3">
        <f>MONTH(Table1[[#This Row],[2.DD-MMM-YYY]])</f>
        <v>3</v>
      </c>
      <c r="R70" s="3" t="str">
        <f>TEXT(Table1[[#This Row],[Joining Date]],"DD-MMM-YYYY")</f>
        <v>02-Mar-2022</v>
      </c>
      <c r="S70" s="3">
        <f ca="1">NETWORKDAYS(Table1[[#This Row],[Joining Date]],TODAY())</f>
        <v>1202</v>
      </c>
      <c r="T70" s="3">
        <f>YEAR(Table1[[#This Row],[Joining Date]])</f>
        <v>2022</v>
      </c>
      <c r="U70" s="3" t="s">
        <v>182</v>
      </c>
      <c r="V70" s="3" t="str">
        <f>IF(Table1[[#This Row],[Experience (Years)]]&gt;5,"experience","fresher")</f>
        <v>fresher</v>
      </c>
      <c r="W70" s="3">
        <v>5</v>
      </c>
      <c r="X70" s="3" t="str">
        <f>IF(Table1[[#This Row],[Experience (Years)]]&lt;=2,"JUNIOR",IF(Table1[[#This Row],[Experience (Years)]]&lt;=5,"MID LEVEL","SENIOR"))</f>
        <v>MID LEVEL</v>
      </c>
      <c r="Y70" s="3">
        <v>53000</v>
      </c>
      <c r="Z70" s="3" t="str">
        <f>IF(AND(Table1[[#This Row],[Experience (Years)]]&gt;5,Table1[[#This Row],[Status]]="ACTIVE"),"YES","NO")</f>
        <v>NO</v>
      </c>
      <c r="AA70" s="3" t="s">
        <v>30</v>
      </c>
    </row>
    <row r="71" spans="1:27" ht="18" x14ac:dyDescent="0.35">
      <c r="A71" t="str">
        <f>RIGHT(Table1[[#This Row],[Emp ID]],4)</f>
        <v>P070</v>
      </c>
      <c r="B71" s="3" t="s">
        <v>183</v>
      </c>
      <c r="C71" s="3">
        <f>FIND("A",Table1[[#This Row],[1.upper case]])</f>
        <v>5</v>
      </c>
      <c r="D71" s="3">
        <f>LEN(Table1[[#This Row],[7.TRIM]])</f>
        <v>5</v>
      </c>
      <c r="E71" s="3" t="str">
        <f>TRIM(Table1[[#This Row],[1.upper case]])</f>
        <v>SNEHA</v>
      </c>
      <c r="F71" s="3" t="str">
        <f>UPPER(Table1[[#This Row],[Employee Name]])</f>
        <v>SNEHA</v>
      </c>
      <c r="G71" s="3" t="s">
        <v>53</v>
      </c>
      <c r="H71" s="3" t="str">
        <f>_xlfn.CONCAT(Table1[[#This Row],[7.TRIM]],"-",Table1[[#This Row],[DepaRtmenT]])</f>
        <v>SNEHA-Sales</v>
      </c>
      <c r="I71" s="3" t="str">
        <f>PROPER(Table1[[#This Row],[DepaRtmenT]])</f>
        <v>Sales</v>
      </c>
      <c r="J71" s="3" t="str">
        <f>IF(OR(Table1[[#This Row],[DepaRtmenT]]="HR",Table1[[#This Row],[DepaRtmenT]]="FINANCE"),"YES","NO")</f>
        <v>NO</v>
      </c>
      <c r="K71" s="3" t="s">
        <v>33</v>
      </c>
      <c r="L71" s="3" t="str">
        <f>LEFT(Table1[[#This Row],[Designation]],5)</f>
        <v>Execu</v>
      </c>
      <c r="M71" s="3" t="s">
        <v>12</v>
      </c>
      <c r="N71" s="3" t="s">
        <v>21</v>
      </c>
      <c r="O71" s="3" t="s">
        <v>22</v>
      </c>
      <c r="P71" s="3" t="str">
        <f>LEFT(Table1[[#This Row],[City]],3)</f>
        <v>Tri</v>
      </c>
      <c r="Q71" s="3">
        <f>MONTH(Table1[[#This Row],[2.DD-MMM-YYY]])</f>
        <v>3</v>
      </c>
      <c r="R71" s="3" t="str">
        <f>TEXT(Table1[[#This Row],[Joining Date]],"DD-MMM-YYYY")</f>
        <v>19-Mar-2022</v>
      </c>
      <c r="S71" s="3">
        <f ca="1">NETWORKDAYS(Table1[[#This Row],[Joining Date]],TODAY())</f>
        <v>1189</v>
      </c>
      <c r="T71" s="3">
        <f>YEAR(Table1[[#This Row],[Joining Date]])</f>
        <v>2022</v>
      </c>
      <c r="U71" s="3" t="s">
        <v>184</v>
      </c>
      <c r="V71" s="3" t="str">
        <f>IF(Table1[[#This Row],[Experience (Years)]]&gt;5,"experience","fresher")</f>
        <v>experience</v>
      </c>
      <c r="W71" s="3">
        <v>6</v>
      </c>
      <c r="X71" s="3" t="str">
        <f>IF(Table1[[#This Row],[Experience (Years)]]&lt;=2,"JUNIOR",IF(Table1[[#This Row],[Experience (Years)]]&lt;=5,"MID LEVEL","SENIOR"))</f>
        <v>SENIOR</v>
      </c>
      <c r="Y71" s="3">
        <v>56500</v>
      </c>
      <c r="Z71" s="3" t="str">
        <f>IF(AND(Table1[[#This Row],[Experience (Years)]]&gt;5,Table1[[#This Row],[Status]]="ACTIVE"),"YES","NO")</f>
        <v>YES</v>
      </c>
      <c r="AA71" s="3" t="s">
        <v>16</v>
      </c>
    </row>
    <row r="72" spans="1:27" ht="18" x14ac:dyDescent="0.35">
      <c r="A72" t="str">
        <f>RIGHT(Table1[[#This Row],[Emp ID]],4)</f>
        <v>P071</v>
      </c>
      <c r="B72" s="3" t="s">
        <v>185</v>
      </c>
      <c r="C72" s="3" t="e">
        <f>FIND("A",Table1[[#This Row],[1.upper case]])</f>
        <v>#VALUE!</v>
      </c>
      <c r="D72" s="3">
        <f>LEN(Table1[[#This Row],[7.TRIM]])</f>
        <v>5</v>
      </c>
      <c r="E72" s="3" t="str">
        <f>TRIM(Table1[[#This Row],[1.upper case]])</f>
        <v>ROHIT</v>
      </c>
      <c r="F72" s="3" t="str">
        <f>UPPER(Table1[[#This Row],[Employee Name]])</f>
        <v>ROHIT</v>
      </c>
      <c r="G72" s="3" t="s">
        <v>56</v>
      </c>
      <c r="H72" s="3" t="str">
        <f>_xlfn.CONCAT(Table1[[#This Row],[7.TRIM]],"-",Table1[[#This Row],[DepaRtmenT]])</f>
        <v>ROHIT-Marketing</v>
      </c>
      <c r="I72" s="3" t="str">
        <f>PROPER(Table1[[#This Row],[DepaRtmenT]])</f>
        <v>Marketing</v>
      </c>
      <c r="J72" s="3" t="str">
        <f>IF(OR(Table1[[#This Row],[DepaRtmenT]]="HR",Table1[[#This Row],[DepaRtmenT]]="FINANCE"),"YES","NO")</f>
        <v>NO</v>
      </c>
      <c r="K72" s="3" t="s">
        <v>37</v>
      </c>
      <c r="L72" s="3" t="str">
        <f>LEFT(Table1[[#This Row],[Designation]],5)</f>
        <v>Devel</v>
      </c>
      <c r="M72" s="3" t="s">
        <v>20</v>
      </c>
      <c r="N72" s="3" t="s">
        <v>13</v>
      </c>
      <c r="O72" s="3" t="s">
        <v>14</v>
      </c>
      <c r="P72" s="3" t="str">
        <f>LEFT(Table1[[#This Row],[City]],3)</f>
        <v>Koc</v>
      </c>
      <c r="Q72" s="3">
        <f>MONTH(Table1[[#This Row],[2.DD-MMM-YYY]])</f>
        <v>4</v>
      </c>
      <c r="R72" s="3" t="str">
        <f>TEXT(Table1[[#This Row],[Joining Date]],"DD-MMM-YYYY")</f>
        <v>05-Apr-2022</v>
      </c>
      <c r="S72" s="3">
        <f ca="1">NETWORKDAYS(Table1[[#This Row],[Joining Date]],TODAY())</f>
        <v>1178</v>
      </c>
      <c r="T72" s="3">
        <f>YEAR(Table1[[#This Row],[Joining Date]])</f>
        <v>2022</v>
      </c>
      <c r="U72" s="3" t="s">
        <v>186</v>
      </c>
      <c r="V72" s="3" t="str">
        <f>IF(Table1[[#This Row],[Experience (Years)]]&gt;5,"experience","fresher")</f>
        <v>experience</v>
      </c>
      <c r="W72" s="3">
        <v>7</v>
      </c>
      <c r="X72" s="3" t="str">
        <f>IF(Table1[[#This Row],[Experience (Years)]]&lt;=2,"JUNIOR",IF(Table1[[#This Row],[Experience (Years)]]&lt;=5,"MID LEVEL","SENIOR"))</f>
        <v>SENIOR</v>
      </c>
      <c r="Y72" s="3">
        <v>60000</v>
      </c>
      <c r="Z72" s="3" t="str">
        <f>IF(AND(Table1[[#This Row],[Experience (Years)]]&gt;5,Table1[[#This Row],[Status]]="ACTIVE"),"YES","NO")</f>
        <v>NO</v>
      </c>
      <c r="AA72" s="3" t="s">
        <v>24</v>
      </c>
    </row>
    <row r="73" spans="1:27" ht="18" x14ac:dyDescent="0.35">
      <c r="A73" t="str">
        <f>RIGHT(Table1[[#This Row],[Emp ID]],4)</f>
        <v>P072</v>
      </c>
      <c r="B73" s="3" t="s">
        <v>187</v>
      </c>
      <c r="C73" s="3">
        <f>FIND("A",Table1[[#This Row],[1.upper case]])</f>
        <v>4</v>
      </c>
      <c r="D73" s="3">
        <f>LEN(Table1[[#This Row],[7.TRIM]])</f>
        <v>4</v>
      </c>
      <c r="E73" s="3" t="str">
        <f>TRIM(Table1[[#This Row],[1.upper case]])</f>
        <v>DIYA</v>
      </c>
      <c r="F73" s="3" t="str">
        <f>UPPER(Table1[[#This Row],[Employee Name]])</f>
        <v>DIYA</v>
      </c>
      <c r="G73" s="3" t="s">
        <v>59</v>
      </c>
      <c r="H73" s="3" t="str">
        <f>_xlfn.CONCAT(Table1[[#This Row],[7.TRIM]],"-",Table1[[#This Row],[DepaRtmenT]])</f>
        <v>DIYA-Operations</v>
      </c>
      <c r="I73" s="3" t="str">
        <f>PROPER(Table1[[#This Row],[DepaRtmenT]])</f>
        <v>Operations</v>
      </c>
      <c r="J73" s="3" t="str">
        <f>IF(OR(Table1[[#This Row],[DepaRtmenT]]="HR",Table1[[#This Row],[DepaRtmenT]]="FINANCE"),"YES","NO")</f>
        <v>NO</v>
      </c>
      <c r="K73" s="3" t="s">
        <v>41</v>
      </c>
      <c r="L73" s="3" t="str">
        <f>LEFT(Table1[[#This Row],[Designation]],5)</f>
        <v>Assoc</v>
      </c>
      <c r="M73" s="3" t="s">
        <v>28</v>
      </c>
      <c r="N73" s="3" t="s">
        <v>21</v>
      </c>
      <c r="O73" s="3" t="s">
        <v>22</v>
      </c>
      <c r="P73" s="3" t="str">
        <f>LEFT(Table1[[#This Row],[City]],3)</f>
        <v>Tri</v>
      </c>
      <c r="Q73" s="3">
        <f>MONTH(Table1[[#This Row],[2.DD-MMM-YYY]])</f>
        <v>4</v>
      </c>
      <c r="R73" s="3" t="str">
        <f>TEXT(Table1[[#This Row],[Joining Date]],"DD-MMM-YYYY")</f>
        <v>22-Apr-2022</v>
      </c>
      <c r="S73" s="3">
        <f ca="1">NETWORKDAYS(Table1[[#This Row],[Joining Date]],TODAY())</f>
        <v>1165</v>
      </c>
      <c r="T73" s="3">
        <f>YEAR(Table1[[#This Row],[Joining Date]])</f>
        <v>2022</v>
      </c>
      <c r="U73" s="3" t="s">
        <v>188</v>
      </c>
      <c r="V73" s="3" t="str">
        <f>IF(Table1[[#This Row],[Experience (Years)]]&gt;5,"experience","fresher")</f>
        <v>experience</v>
      </c>
      <c r="W73" s="3">
        <v>8</v>
      </c>
      <c r="X73" s="3" t="str">
        <f>IF(Table1[[#This Row],[Experience (Years)]]&lt;=2,"JUNIOR",IF(Table1[[#This Row],[Experience (Years)]]&lt;=5,"MID LEVEL","SENIOR"))</f>
        <v>SENIOR</v>
      </c>
      <c r="Y73" s="3">
        <v>63500</v>
      </c>
      <c r="Z73" s="3" t="str">
        <f>IF(AND(Table1[[#This Row],[Experience (Years)]]&gt;5,Table1[[#This Row],[Status]]="ACTIVE"),"YES","NO")</f>
        <v>NO</v>
      </c>
      <c r="AA73" s="3" t="s">
        <v>30</v>
      </c>
    </row>
    <row r="74" spans="1:27" ht="18" x14ac:dyDescent="0.35">
      <c r="A74" t="str">
        <f>RIGHT(Table1[[#This Row],[Emp ID]],4)</f>
        <v>P073</v>
      </c>
      <c r="B74" s="3" t="s">
        <v>189</v>
      </c>
      <c r="C74" s="3">
        <f>FIND("A",Table1[[#This Row],[1.upper case]])</f>
        <v>1</v>
      </c>
      <c r="D74" s="3">
        <f>LEN(Table1[[#This Row],[7.TRIM]])</f>
        <v>5</v>
      </c>
      <c r="E74" s="3" t="str">
        <f>TRIM(Table1[[#This Row],[1.upper case]])</f>
        <v>ANOOP</v>
      </c>
      <c r="F74" s="3" t="str">
        <f>UPPER(Table1[[#This Row],[Employee Name]])</f>
        <v>ANOOP</v>
      </c>
      <c r="G74" s="3" t="s">
        <v>62</v>
      </c>
      <c r="H74" s="3" t="str">
        <f>_xlfn.CONCAT(Table1[[#This Row],[7.TRIM]],"-",Table1[[#This Row],[DepaRtmenT]])</f>
        <v>ANOOP-HR</v>
      </c>
      <c r="I74" s="3" t="str">
        <f>PROPER(Table1[[#This Row],[DepaRtmenT]])</f>
        <v>Hr</v>
      </c>
      <c r="J74" s="3" t="str">
        <f>IF(OR(Table1[[#This Row],[DepaRtmenT]]="HR",Table1[[#This Row],[DepaRtmenT]]="FINANCE"),"YES","NO")</f>
        <v>YES</v>
      </c>
      <c r="K74" s="3" t="s">
        <v>11</v>
      </c>
      <c r="L74" s="3" t="str">
        <f>LEFT(Table1[[#This Row],[Designation]],5)</f>
        <v>Execu</v>
      </c>
      <c r="M74" s="3" t="s">
        <v>12</v>
      </c>
      <c r="N74" s="3" t="s">
        <v>13</v>
      </c>
      <c r="O74" s="3" t="s">
        <v>14</v>
      </c>
      <c r="P74" s="3" t="str">
        <f>LEFT(Table1[[#This Row],[City]],3)</f>
        <v>Koc</v>
      </c>
      <c r="Q74" s="3">
        <f>MONTH(Table1[[#This Row],[2.DD-MMM-YYY]])</f>
        <v>5</v>
      </c>
      <c r="R74" s="3" t="str">
        <f>TEXT(Table1[[#This Row],[Joining Date]],"DD-MMM-YYYY")</f>
        <v>09-May-2022</v>
      </c>
      <c r="S74" s="3">
        <f ca="1">NETWORKDAYS(Table1[[#This Row],[Joining Date]],TODAY())</f>
        <v>1154</v>
      </c>
      <c r="T74" s="3">
        <f>YEAR(Table1[[#This Row],[Joining Date]])</f>
        <v>2022</v>
      </c>
      <c r="U74" s="3" t="s">
        <v>190</v>
      </c>
      <c r="V74" s="3" t="str">
        <f>IF(Table1[[#This Row],[Experience (Years)]]&gt;5,"experience","fresher")</f>
        <v>fresher</v>
      </c>
      <c r="W74" s="3">
        <v>1</v>
      </c>
      <c r="X74" s="3" t="str">
        <f>IF(Table1[[#This Row],[Experience (Years)]]&lt;=2,"JUNIOR",IF(Table1[[#This Row],[Experience (Years)]]&lt;=5,"MID LEVEL","SENIOR"))</f>
        <v>JUNIOR</v>
      </c>
      <c r="Y74" s="3">
        <v>67000</v>
      </c>
      <c r="Z74" s="3" t="str">
        <f>IF(AND(Table1[[#This Row],[Experience (Years)]]&gt;5,Table1[[#This Row],[Status]]="ACTIVE"),"YES","NO")</f>
        <v>NO</v>
      </c>
      <c r="AA74" s="3" t="s">
        <v>16</v>
      </c>
    </row>
    <row r="75" spans="1:27" ht="18" x14ac:dyDescent="0.35">
      <c r="A75" t="str">
        <f>RIGHT(Table1[[#This Row],[Emp ID]],4)</f>
        <v>P074</v>
      </c>
      <c r="B75" s="3" t="s">
        <v>191</v>
      </c>
      <c r="C75" s="3">
        <f>FIND("A",Table1[[#This Row],[1.upper case]])</f>
        <v>6</v>
      </c>
      <c r="D75" s="3">
        <f>LEN(Table1[[#This Row],[7.TRIM]])</f>
        <v>6</v>
      </c>
      <c r="E75" s="3" t="str">
        <f>TRIM(Table1[[#This Row],[1.upper case]])</f>
        <v>NITHYA</v>
      </c>
      <c r="F75" s="3" t="str">
        <f>UPPER(Table1[[#This Row],[Employee Name]])</f>
        <v>NITHYA</v>
      </c>
      <c r="G75" s="3" t="s">
        <v>65</v>
      </c>
      <c r="H75" s="3" t="str">
        <f>_xlfn.CONCAT(Table1[[#This Row],[7.TRIM]],"-",Table1[[#This Row],[DepaRtmenT]])</f>
        <v>NITHYA-IT</v>
      </c>
      <c r="I75" s="3" t="str">
        <f>PROPER(Table1[[#This Row],[DepaRtmenT]])</f>
        <v>It</v>
      </c>
      <c r="J75" s="3" t="str">
        <f>IF(OR(Table1[[#This Row],[DepaRtmenT]]="HR",Table1[[#This Row],[DepaRtmenT]]="FINANCE"),"YES","NO")</f>
        <v>NO</v>
      </c>
      <c r="K75" s="3" t="s">
        <v>19</v>
      </c>
      <c r="L75" s="3" t="str">
        <f>LEFT(Table1[[#This Row],[Designation]],5)</f>
        <v>Devel</v>
      </c>
      <c r="M75" s="3" t="s">
        <v>20</v>
      </c>
      <c r="N75" s="3" t="s">
        <v>21</v>
      </c>
      <c r="O75" s="3" t="s">
        <v>22</v>
      </c>
      <c r="P75" s="3" t="str">
        <f>LEFT(Table1[[#This Row],[City]],3)</f>
        <v>Tri</v>
      </c>
      <c r="Q75" s="3">
        <f>MONTH(Table1[[#This Row],[2.DD-MMM-YYY]])</f>
        <v>5</v>
      </c>
      <c r="R75" s="3" t="str">
        <f>TEXT(Table1[[#This Row],[Joining Date]],"DD-MMM-YYYY")</f>
        <v>26-May-2022</v>
      </c>
      <c r="S75" s="3">
        <f ca="1">NETWORKDAYS(Table1[[#This Row],[Joining Date]],TODAY())</f>
        <v>1141</v>
      </c>
      <c r="T75" s="3">
        <f>YEAR(Table1[[#This Row],[Joining Date]])</f>
        <v>2022</v>
      </c>
      <c r="U75" s="3" t="s">
        <v>192</v>
      </c>
      <c r="V75" s="3" t="str">
        <f>IF(Table1[[#This Row],[Experience (Years)]]&gt;5,"experience","fresher")</f>
        <v>fresher</v>
      </c>
      <c r="W75" s="3">
        <v>2</v>
      </c>
      <c r="X75" s="3" t="str">
        <f>IF(Table1[[#This Row],[Experience (Years)]]&lt;=2,"JUNIOR",IF(Table1[[#This Row],[Experience (Years)]]&lt;=5,"MID LEVEL","SENIOR"))</f>
        <v>JUNIOR</v>
      </c>
      <c r="Y75" s="3">
        <v>70500</v>
      </c>
      <c r="Z75" s="3" t="str">
        <f>IF(AND(Table1[[#This Row],[Experience (Years)]]&gt;5,Table1[[#This Row],[Status]]="ACTIVE"),"YES","NO")</f>
        <v>NO</v>
      </c>
      <c r="AA75" s="3" t="s">
        <v>24</v>
      </c>
    </row>
    <row r="76" spans="1:27" ht="18" x14ac:dyDescent="0.35">
      <c r="A76" t="str">
        <f>RIGHT(Table1[[#This Row],[Emp ID]],4)</f>
        <v>P075</v>
      </c>
      <c r="B76" s="3" t="s">
        <v>193</v>
      </c>
      <c r="C76" s="3">
        <f>FIND("A",Table1[[#This Row],[1.upper case]])</f>
        <v>1</v>
      </c>
      <c r="D76" s="3">
        <f>LEN(Table1[[#This Row],[7.TRIM]])</f>
        <v>6</v>
      </c>
      <c r="E76" s="3" t="str">
        <f>TRIM(Table1[[#This Row],[1.upper case]])</f>
        <v>ADITYA</v>
      </c>
      <c r="F76" s="3" t="str">
        <f>UPPER(Table1[[#This Row],[Employee Name]])</f>
        <v>ADITYA</v>
      </c>
      <c r="G76" s="3" t="s">
        <v>68</v>
      </c>
      <c r="H76" s="3" t="str">
        <f>_xlfn.CONCAT(Table1[[#This Row],[7.TRIM]],"-",Table1[[#This Row],[DepaRtmenT]])</f>
        <v>ADITYA-Finance</v>
      </c>
      <c r="I76" s="3" t="str">
        <f>PROPER(Table1[[#This Row],[DepaRtmenT]])</f>
        <v>Finance</v>
      </c>
      <c r="J76" s="3" t="str">
        <f>IF(OR(Table1[[#This Row],[DepaRtmenT]]="HR",Table1[[#This Row],[DepaRtmenT]]="FINANCE"),"YES","NO")</f>
        <v>YES</v>
      </c>
      <c r="K76" s="3" t="s">
        <v>27</v>
      </c>
      <c r="L76" s="3" t="str">
        <f>LEFT(Table1[[#This Row],[Designation]],5)</f>
        <v>Assoc</v>
      </c>
      <c r="M76" s="3" t="s">
        <v>28</v>
      </c>
      <c r="N76" s="3" t="s">
        <v>13</v>
      </c>
      <c r="O76" s="3" t="s">
        <v>14</v>
      </c>
      <c r="P76" s="3" t="str">
        <f>LEFT(Table1[[#This Row],[City]],3)</f>
        <v>Koc</v>
      </c>
      <c r="Q76" s="3">
        <f>MONTH(Table1[[#This Row],[2.DD-MMM-YYY]])</f>
        <v>6</v>
      </c>
      <c r="R76" s="3" t="str">
        <f>TEXT(Table1[[#This Row],[Joining Date]],"DD-MMM-YYYY")</f>
        <v>12-Jun-2022</v>
      </c>
      <c r="S76" s="3">
        <f ca="1">NETWORKDAYS(Table1[[#This Row],[Joining Date]],TODAY())</f>
        <v>1129</v>
      </c>
      <c r="T76" s="3">
        <f>YEAR(Table1[[#This Row],[Joining Date]])</f>
        <v>2022</v>
      </c>
      <c r="U76" s="3" t="s">
        <v>194</v>
      </c>
      <c r="V76" s="3" t="str">
        <f>IF(Table1[[#This Row],[Experience (Years)]]&gt;5,"experience","fresher")</f>
        <v>fresher</v>
      </c>
      <c r="W76" s="3">
        <v>3</v>
      </c>
      <c r="X76" s="3" t="str">
        <f>IF(Table1[[#This Row],[Experience (Years)]]&lt;=2,"JUNIOR",IF(Table1[[#This Row],[Experience (Years)]]&lt;=5,"MID LEVEL","SENIOR"))</f>
        <v>MID LEVEL</v>
      </c>
      <c r="Y76" s="3">
        <v>74000</v>
      </c>
      <c r="Z76" s="3" t="str">
        <f>IF(AND(Table1[[#This Row],[Experience (Years)]]&gt;5,Table1[[#This Row],[Status]]="ACTIVE"),"YES","NO")</f>
        <v>NO</v>
      </c>
      <c r="AA76" s="3" t="s">
        <v>30</v>
      </c>
    </row>
    <row r="77" spans="1:27" ht="18" x14ac:dyDescent="0.35">
      <c r="A77" t="str">
        <f>RIGHT(Table1[[#This Row],[Emp ID]],4)</f>
        <v>P076</v>
      </c>
      <c r="B77" s="3" t="s">
        <v>195</v>
      </c>
      <c r="C77" s="3">
        <f>FIND("A",Table1[[#This Row],[1.upper case]])</f>
        <v>1</v>
      </c>
      <c r="D77" s="3">
        <f>LEN(Table1[[#This Row],[7.TRIM]])</f>
        <v>4</v>
      </c>
      <c r="E77" s="3" t="str">
        <f>TRIM(Table1[[#This Row],[1.upper case]])</f>
        <v>ASHA</v>
      </c>
      <c r="F77" s="3" t="str">
        <f>UPPER(Table1[[#This Row],[Employee Name]])</f>
        <v>ASHA</v>
      </c>
      <c r="G77" s="3" t="s">
        <v>71</v>
      </c>
      <c r="H77" s="3" t="str">
        <f>_xlfn.CONCAT(Table1[[#This Row],[7.TRIM]],"-",Table1[[#This Row],[DepaRtmenT]])</f>
        <v>ASHA-Sales</v>
      </c>
      <c r="I77" s="3" t="str">
        <f>PROPER(Table1[[#This Row],[DepaRtmenT]])</f>
        <v>Sales</v>
      </c>
      <c r="J77" s="3" t="str">
        <f>IF(OR(Table1[[#This Row],[DepaRtmenT]]="HR",Table1[[#This Row],[DepaRtmenT]]="FINANCE"),"YES","NO")</f>
        <v>NO</v>
      </c>
      <c r="K77" s="3" t="s">
        <v>33</v>
      </c>
      <c r="L77" s="3" t="str">
        <f>LEFT(Table1[[#This Row],[Designation]],5)</f>
        <v>Execu</v>
      </c>
      <c r="M77" s="3" t="s">
        <v>12</v>
      </c>
      <c r="N77" s="3" t="s">
        <v>21</v>
      </c>
      <c r="O77" s="3" t="s">
        <v>22</v>
      </c>
      <c r="P77" s="3" t="str">
        <f>LEFT(Table1[[#This Row],[City]],3)</f>
        <v>Tri</v>
      </c>
      <c r="Q77" s="3">
        <f>MONTH(Table1[[#This Row],[2.DD-MMM-YYY]])</f>
        <v>6</v>
      </c>
      <c r="R77" s="3" t="str">
        <f>TEXT(Table1[[#This Row],[Joining Date]],"DD-MMM-YYYY")</f>
        <v>29-Jun-2022</v>
      </c>
      <c r="S77" s="3">
        <f ca="1">NETWORKDAYS(Table1[[#This Row],[Joining Date]],TODAY())</f>
        <v>1117</v>
      </c>
      <c r="T77" s="3">
        <f>YEAR(Table1[[#This Row],[Joining Date]])</f>
        <v>2022</v>
      </c>
      <c r="U77" s="3" t="s">
        <v>196</v>
      </c>
      <c r="V77" s="3" t="str">
        <f>IF(Table1[[#This Row],[Experience (Years)]]&gt;5,"experience","fresher")</f>
        <v>fresher</v>
      </c>
      <c r="W77" s="3">
        <v>4</v>
      </c>
      <c r="X77" s="3" t="str">
        <f>IF(Table1[[#This Row],[Experience (Years)]]&lt;=2,"JUNIOR",IF(Table1[[#This Row],[Experience (Years)]]&lt;=5,"MID LEVEL","SENIOR"))</f>
        <v>MID LEVEL</v>
      </c>
      <c r="Y77" s="3">
        <v>25000</v>
      </c>
      <c r="Z77" s="3" t="str">
        <f>IF(AND(Table1[[#This Row],[Experience (Years)]]&gt;5,Table1[[#This Row],[Status]]="ACTIVE"),"YES","NO")</f>
        <v>NO</v>
      </c>
      <c r="AA77" s="3" t="s">
        <v>16</v>
      </c>
    </row>
    <row r="78" spans="1:27" ht="18" x14ac:dyDescent="0.35">
      <c r="A78" t="str">
        <f>RIGHT(Table1[[#This Row],[Emp ID]],4)</f>
        <v>P077</v>
      </c>
      <c r="B78" s="3" t="s">
        <v>197</v>
      </c>
      <c r="C78" s="3">
        <f>FIND("A",Table1[[#This Row],[1.upper case]])</f>
        <v>2</v>
      </c>
      <c r="D78" s="3">
        <f>LEN(Table1[[#This Row],[7.TRIM]])</f>
        <v>5</v>
      </c>
      <c r="E78" s="3" t="str">
        <f>TRIM(Table1[[#This Row],[1.upper case]])</f>
        <v>VARUN</v>
      </c>
      <c r="F78" s="3" t="str">
        <f>UPPER(Table1[[#This Row],[Employee Name]])</f>
        <v>VARUN</v>
      </c>
      <c r="G78" s="3" t="s">
        <v>74</v>
      </c>
      <c r="H78" s="3" t="str">
        <f>_xlfn.CONCAT(Table1[[#This Row],[7.TRIM]],"-",Table1[[#This Row],[DepaRtmenT]])</f>
        <v>VARUN-Marketing</v>
      </c>
      <c r="I78" s="3" t="str">
        <f>PROPER(Table1[[#This Row],[DepaRtmenT]])</f>
        <v>Marketing</v>
      </c>
      <c r="J78" s="3" t="str">
        <f>IF(OR(Table1[[#This Row],[DepaRtmenT]]="HR",Table1[[#This Row],[DepaRtmenT]]="FINANCE"),"YES","NO")</f>
        <v>NO</v>
      </c>
      <c r="K78" s="3" t="s">
        <v>37</v>
      </c>
      <c r="L78" s="3" t="str">
        <f>LEFT(Table1[[#This Row],[Designation]],5)</f>
        <v>Devel</v>
      </c>
      <c r="M78" s="3" t="s">
        <v>20</v>
      </c>
      <c r="N78" s="3" t="s">
        <v>13</v>
      </c>
      <c r="O78" s="3" t="s">
        <v>14</v>
      </c>
      <c r="P78" s="3" t="str">
        <f>LEFT(Table1[[#This Row],[City]],3)</f>
        <v>Koc</v>
      </c>
      <c r="Q78" s="3">
        <f>MONTH(Table1[[#This Row],[2.DD-MMM-YYY]])</f>
        <v>7</v>
      </c>
      <c r="R78" s="3" t="str">
        <f>TEXT(Table1[[#This Row],[Joining Date]],"DD-MMM-YYYY")</f>
        <v>16-Jul-2022</v>
      </c>
      <c r="S78" s="3">
        <f ca="1">NETWORKDAYS(Table1[[#This Row],[Joining Date]],TODAY())</f>
        <v>1104</v>
      </c>
      <c r="T78" s="3">
        <f>YEAR(Table1[[#This Row],[Joining Date]])</f>
        <v>2022</v>
      </c>
      <c r="U78" s="3" t="s">
        <v>198</v>
      </c>
      <c r="V78" s="3" t="str">
        <f>IF(Table1[[#This Row],[Experience (Years)]]&gt;5,"experience","fresher")</f>
        <v>fresher</v>
      </c>
      <c r="W78" s="3">
        <v>5</v>
      </c>
      <c r="X78" s="3" t="str">
        <f>IF(Table1[[#This Row],[Experience (Years)]]&lt;=2,"JUNIOR",IF(Table1[[#This Row],[Experience (Years)]]&lt;=5,"MID LEVEL","SENIOR"))</f>
        <v>MID LEVEL</v>
      </c>
      <c r="Y78" s="3">
        <v>28500</v>
      </c>
      <c r="Z78" s="3" t="str">
        <f>IF(AND(Table1[[#This Row],[Experience (Years)]]&gt;5,Table1[[#This Row],[Status]]="ACTIVE"),"YES","NO")</f>
        <v>NO</v>
      </c>
      <c r="AA78" s="3" t="s">
        <v>24</v>
      </c>
    </row>
    <row r="79" spans="1:27" ht="18" x14ac:dyDescent="0.35">
      <c r="A79" t="str">
        <f>RIGHT(Table1[[#This Row],[Emp ID]],4)</f>
        <v>P078</v>
      </c>
      <c r="B79" s="3" t="s">
        <v>199</v>
      </c>
      <c r="C79" s="3">
        <f>FIND("A",Table1[[#This Row],[1.upper case]])</f>
        <v>7</v>
      </c>
      <c r="D79" s="3">
        <f>LEN(Table1[[#This Row],[7.TRIM]])</f>
        <v>9</v>
      </c>
      <c r="E79" s="3" t="str">
        <f>TRIM(Table1[[#This Row],[1.upper case]])</f>
        <v>KEERTHANA</v>
      </c>
      <c r="F79" s="3" t="str">
        <f>UPPER(Table1[[#This Row],[Employee Name]])</f>
        <v>KEERTHANA</v>
      </c>
      <c r="G79" s="3" t="s">
        <v>77</v>
      </c>
      <c r="H79" s="3" t="str">
        <f>_xlfn.CONCAT(Table1[[#This Row],[7.TRIM]],"-",Table1[[#This Row],[DepaRtmenT]])</f>
        <v>KEERTHANA-Operations</v>
      </c>
      <c r="I79" s="3" t="str">
        <f>PROPER(Table1[[#This Row],[DepaRtmenT]])</f>
        <v>Operations</v>
      </c>
      <c r="J79" s="3" t="str">
        <f>IF(OR(Table1[[#This Row],[DepaRtmenT]]="HR",Table1[[#This Row],[DepaRtmenT]]="FINANCE"),"YES","NO")</f>
        <v>NO</v>
      </c>
      <c r="K79" s="3" t="s">
        <v>41</v>
      </c>
      <c r="L79" s="3" t="str">
        <f>LEFT(Table1[[#This Row],[Designation]],5)</f>
        <v>Assoc</v>
      </c>
      <c r="M79" s="3" t="s">
        <v>28</v>
      </c>
      <c r="N79" s="3" t="s">
        <v>21</v>
      </c>
      <c r="O79" s="3" t="s">
        <v>22</v>
      </c>
      <c r="P79" s="3" t="str">
        <f>LEFT(Table1[[#This Row],[City]],3)</f>
        <v>Tri</v>
      </c>
      <c r="Q79" s="3">
        <f>MONTH(Table1[[#This Row],[2.DD-MMM-YYY]])</f>
        <v>8</v>
      </c>
      <c r="R79" s="3" t="str">
        <f>TEXT(Table1[[#This Row],[Joining Date]],"DD-MMM-YYYY")</f>
        <v>02-Aug-2022</v>
      </c>
      <c r="S79" s="3">
        <f ca="1">NETWORKDAYS(Table1[[#This Row],[Joining Date]],TODAY())</f>
        <v>1093</v>
      </c>
      <c r="T79" s="3">
        <f>YEAR(Table1[[#This Row],[Joining Date]])</f>
        <v>2022</v>
      </c>
      <c r="U79" s="3" t="s">
        <v>200</v>
      </c>
      <c r="V79" s="3" t="str">
        <f>IF(Table1[[#This Row],[Experience (Years)]]&gt;5,"experience","fresher")</f>
        <v>experience</v>
      </c>
      <c r="W79" s="3">
        <v>6</v>
      </c>
      <c r="X79" s="3" t="str">
        <f>IF(Table1[[#This Row],[Experience (Years)]]&lt;=2,"JUNIOR",IF(Table1[[#This Row],[Experience (Years)]]&lt;=5,"MID LEVEL","SENIOR"))</f>
        <v>SENIOR</v>
      </c>
      <c r="Y79" s="3">
        <v>32000</v>
      </c>
      <c r="Z79" s="3" t="str">
        <f>IF(AND(Table1[[#This Row],[Experience (Years)]]&gt;5,Table1[[#This Row],[Status]]="ACTIVE"),"YES","NO")</f>
        <v>NO</v>
      </c>
      <c r="AA79" s="3" t="s">
        <v>30</v>
      </c>
    </row>
    <row r="80" spans="1:27" ht="18" x14ac:dyDescent="0.35">
      <c r="A80" t="str">
        <f>RIGHT(Table1[[#This Row],[Emp ID]],4)</f>
        <v>P079</v>
      </c>
      <c r="B80" s="3" t="s">
        <v>201</v>
      </c>
      <c r="C80" s="3" t="e">
        <f>FIND("A",Table1[[#This Row],[1.upper case]])</f>
        <v>#VALUE!</v>
      </c>
      <c r="D80" s="3">
        <f>LEN(Table1[[#This Row],[7.TRIM]])</f>
        <v>4</v>
      </c>
      <c r="E80" s="3" t="str">
        <f>TRIM(Table1[[#This Row],[1.upper case]])</f>
        <v>JOEL</v>
      </c>
      <c r="F80" s="3" t="str">
        <f>UPPER(Table1[[#This Row],[Employee Name]])</f>
        <v>JOEL</v>
      </c>
      <c r="G80" s="3" t="s">
        <v>80</v>
      </c>
      <c r="H80" s="3" t="str">
        <f>_xlfn.CONCAT(Table1[[#This Row],[7.TRIM]],"-",Table1[[#This Row],[DepaRtmenT]])</f>
        <v>JOEL-HR</v>
      </c>
      <c r="I80" s="3" t="str">
        <f>PROPER(Table1[[#This Row],[DepaRtmenT]])</f>
        <v>Hr</v>
      </c>
      <c r="J80" s="3" t="str">
        <f>IF(OR(Table1[[#This Row],[DepaRtmenT]]="HR",Table1[[#This Row],[DepaRtmenT]]="FINANCE"),"YES","NO")</f>
        <v>YES</v>
      </c>
      <c r="K80" s="3" t="s">
        <v>11</v>
      </c>
      <c r="L80" s="3" t="str">
        <f>LEFT(Table1[[#This Row],[Designation]],5)</f>
        <v>Execu</v>
      </c>
      <c r="M80" s="3" t="s">
        <v>12</v>
      </c>
      <c r="N80" s="3" t="s">
        <v>13</v>
      </c>
      <c r="O80" s="3" t="s">
        <v>14</v>
      </c>
      <c r="P80" s="3" t="str">
        <f>LEFT(Table1[[#This Row],[City]],3)</f>
        <v>Koc</v>
      </c>
      <c r="Q80" s="3">
        <f>MONTH(Table1[[#This Row],[2.DD-MMM-YYY]])</f>
        <v>8</v>
      </c>
      <c r="R80" s="3" t="str">
        <f>TEXT(Table1[[#This Row],[Joining Date]],"DD-MMM-YYYY")</f>
        <v>19-Aug-2022</v>
      </c>
      <c r="S80" s="3">
        <f ca="1">NETWORKDAYS(Table1[[#This Row],[Joining Date]],TODAY())</f>
        <v>1080</v>
      </c>
      <c r="T80" s="3">
        <f>YEAR(Table1[[#This Row],[Joining Date]])</f>
        <v>2022</v>
      </c>
      <c r="U80" s="3" t="s">
        <v>202</v>
      </c>
      <c r="V80" s="3" t="str">
        <f>IF(Table1[[#This Row],[Experience (Years)]]&gt;5,"experience","fresher")</f>
        <v>experience</v>
      </c>
      <c r="W80" s="3">
        <v>7</v>
      </c>
      <c r="X80" s="3" t="str">
        <f>IF(Table1[[#This Row],[Experience (Years)]]&lt;=2,"JUNIOR",IF(Table1[[#This Row],[Experience (Years)]]&lt;=5,"MID LEVEL","SENIOR"))</f>
        <v>SENIOR</v>
      </c>
      <c r="Y80" s="3">
        <v>35500</v>
      </c>
      <c r="Z80" s="3" t="str">
        <f>IF(AND(Table1[[#This Row],[Experience (Years)]]&gt;5,Table1[[#This Row],[Status]]="ACTIVE"),"YES","NO")</f>
        <v>YES</v>
      </c>
      <c r="AA80" s="3" t="s">
        <v>16</v>
      </c>
    </row>
    <row r="81" spans="1:27" ht="18" x14ac:dyDescent="0.35">
      <c r="A81" t="str">
        <f>RIGHT(Table1[[#This Row],[Emp ID]],4)</f>
        <v>P080</v>
      </c>
      <c r="B81" s="3" t="s">
        <v>203</v>
      </c>
      <c r="C81" s="3">
        <f>FIND("A",Table1[[#This Row],[1.upper case]])</f>
        <v>1</v>
      </c>
      <c r="D81" s="3">
        <f>LEN(Table1[[#This Row],[7.TRIM]])</f>
        <v>6</v>
      </c>
      <c r="E81" s="3" t="str">
        <f>TRIM(Table1[[#This Row],[1.upper case]])</f>
        <v>ATHIRA</v>
      </c>
      <c r="F81" s="3" t="str">
        <f>UPPER(Table1[[#This Row],[Employee Name]])</f>
        <v>ATHIRA</v>
      </c>
      <c r="G81" s="3" t="s">
        <v>83</v>
      </c>
      <c r="H81" s="3" t="str">
        <f>_xlfn.CONCAT(Table1[[#This Row],[7.TRIM]],"-",Table1[[#This Row],[DepaRtmenT]])</f>
        <v>ATHIRA-IT</v>
      </c>
      <c r="I81" s="3" t="str">
        <f>PROPER(Table1[[#This Row],[DepaRtmenT]])</f>
        <v>It</v>
      </c>
      <c r="J81" s="3" t="str">
        <f>IF(OR(Table1[[#This Row],[DepaRtmenT]]="HR",Table1[[#This Row],[DepaRtmenT]]="FINANCE"),"YES","NO")</f>
        <v>NO</v>
      </c>
      <c r="K81" s="3" t="s">
        <v>19</v>
      </c>
      <c r="L81" s="3" t="str">
        <f>LEFT(Table1[[#This Row],[Designation]],5)</f>
        <v>Devel</v>
      </c>
      <c r="M81" s="3" t="s">
        <v>20</v>
      </c>
      <c r="N81" s="3" t="s">
        <v>21</v>
      </c>
      <c r="O81" s="3" t="s">
        <v>22</v>
      </c>
      <c r="P81" s="3" t="str">
        <f>LEFT(Table1[[#This Row],[City]],3)</f>
        <v>Tri</v>
      </c>
      <c r="Q81" s="3">
        <f>MONTH(Table1[[#This Row],[2.DD-MMM-YYY]])</f>
        <v>9</v>
      </c>
      <c r="R81" s="3" t="str">
        <f>TEXT(Table1[[#This Row],[Joining Date]],"DD-MMM-YYYY")</f>
        <v>05-Sep-2022</v>
      </c>
      <c r="S81" s="3">
        <f ca="1">NETWORKDAYS(Table1[[#This Row],[Joining Date]],TODAY())</f>
        <v>1069</v>
      </c>
      <c r="T81" s="3">
        <f>YEAR(Table1[[#This Row],[Joining Date]])</f>
        <v>2022</v>
      </c>
      <c r="U81" s="3" t="s">
        <v>204</v>
      </c>
      <c r="V81" s="3" t="str">
        <f>IF(Table1[[#This Row],[Experience (Years)]]&gt;5,"experience","fresher")</f>
        <v>experience</v>
      </c>
      <c r="W81" s="3">
        <v>8</v>
      </c>
      <c r="X81" s="3" t="str">
        <f>IF(Table1[[#This Row],[Experience (Years)]]&lt;=2,"JUNIOR",IF(Table1[[#This Row],[Experience (Years)]]&lt;=5,"MID LEVEL","SENIOR"))</f>
        <v>SENIOR</v>
      </c>
      <c r="Y81" s="3">
        <v>39000</v>
      </c>
      <c r="Z81" s="3" t="str">
        <f>IF(AND(Table1[[#This Row],[Experience (Years)]]&gt;5,Table1[[#This Row],[Status]]="ACTIVE"),"YES","NO")</f>
        <v>NO</v>
      </c>
      <c r="AA81" s="3" t="s">
        <v>24</v>
      </c>
    </row>
    <row r="82" spans="1:27" ht="18" x14ac:dyDescent="0.35">
      <c r="A82" t="str">
        <f>RIGHT(Table1[[#This Row],[Emp ID]],4)</f>
        <v>P081</v>
      </c>
      <c r="B82" s="3" t="s">
        <v>205</v>
      </c>
      <c r="C82" s="3">
        <f>FIND("A",Table1[[#This Row],[1.upper case]])</f>
        <v>2</v>
      </c>
      <c r="D82" s="3">
        <f>LEN(Table1[[#This Row],[7.TRIM]])</f>
        <v>5</v>
      </c>
      <c r="E82" s="3" t="str">
        <f>TRIM(Table1[[#This Row],[1.upper case]])</f>
        <v>RAHUL</v>
      </c>
      <c r="F82" s="3" t="str">
        <f>UPPER(Table1[[#This Row],[Employee Name]])</f>
        <v>RAHUL</v>
      </c>
      <c r="G82" s="3" t="s">
        <v>10</v>
      </c>
      <c r="H82" s="3" t="str">
        <f>_xlfn.CONCAT(Table1[[#This Row],[7.TRIM]],"-",Table1[[#This Row],[DepaRtmenT]])</f>
        <v>RAHUL-Finance</v>
      </c>
      <c r="I82" s="3" t="str">
        <f>PROPER(Table1[[#This Row],[DepaRtmenT]])</f>
        <v>Finance</v>
      </c>
      <c r="J82" s="3" t="str">
        <f>IF(OR(Table1[[#This Row],[DepaRtmenT]]="HR",Table1[[#This Row],[DepaRtmenT]]="FINANCE"),"YES","NO")</f>
        <v>YES</v>
      </c>
      <c r="K82" s="3" t="s">
        <v>27</v>
      </c>
      <c r="L82" s="3" t="str">
        <f>LEFT(Table1[[#This Row],[Designation]],5)</f>
        <v>Assoc</v>
      </c>
      <c r="M82" s="3" t="s">
        <v>28</v>
      </c>
      <c r="N82" s="3" t="s">
        <v>13</v>
      </c>
      <c r="O82" s="3" t="s">
        <v>14</v>
      </c>
      <c r="P82" s="3" t="str">
        <f>LEFT(Table1[[#This Row],[City]],3)</f>
        <v>Koc</v>
      </c>
      <c r="Q82" s="3">
        <f>MONTH(Table1[[#This Row],[2.DD-MMM-YYY]])</f>
        <v>9</v>
      </c>
      <c r="R82" s="3" t="str">
        <f>TEXT(Table1[[#This Row],[Joining Date]],"DD-MMM-YYYY")</f>
        <v>22-Sep-2022</v>
      </c>
      <c r="S82" s="3">
        <f ca="1">NETWORKDAYS(Table1[[#This Row],[Joining Date]],TODAY())</f>
        <v>1056</v>
      </c>
      <c r="T82" s="3">
        <f>YEAR(Table1[[#This Row],[Joining Date]])</f>
        <v>2022</v>
      </c>
      <c r="U82" s="3" t="s">
        <v>206</v>
      </c>
      <c r="V82" s="3" t="str">
        <f>IF(Table1[[#This Row],[Experience (Years)]]&gt;5,"experience","fresher")</f>
        <v>fresher</v>
      </c>
      <c r="W82" s="3">
        <v>1</v>
      </c>
      <c r="X82" s="3" t="str">
        <f>IF(Table1[[#This Row],[Experience (Years)]]&lt;=2,"JUNIOR",IF(Table1[[#This Row],[Experience (Years)]]&lt;=5,"MID LEVEL","SENIOR"))</f>
        <v>JUNIOR</v>
      </c>
      <c r="Y82" s="3">
        <v>42500</v>
      </c>
      <c r="Z82" s="3" t="str">
        <f>IF(AND(Table1[[#This Row],[Experience (Years)]]&gt;5,Table1[[#This Row],[Status]]="ACTIVE"),"YES","NO")</f>
        <v>NO</v>
      </c>
      <c r="AA82" s="3" t="s">
        <v>30</v>
      </c>
    </row>
    <row r="83" spans="1:27" ht="18" x14ac:dyDescent="0.35">
      <c r="A83" t="str">
        <f>RIGHT(Table1[[#This Row],[Emp ID]],4)</f>
        <v>P082</v>
      </c>
      <c r="B83" s="3" t="s">
        <v>207</v>
      </c>
      <c r="C83" s="3">
        <f>FIND("A",Table1[[#This Row],[1.upper case]])</f>
        <v>5</v>
      </c>
      <c r="D83" s="3">
        <f>LEN(Table1[[#This Row],[7.TRIM]])</f>
        <v>5</v>
      </c>
      <c r="E83" s="3" t="str">
        <f>TRIM(Table1[[#This Row],[1.upper case]])</f>
        <v>PRIYA</v>
      </c>
      <c r="F83" s="3" t="str">
        <f>UPPER(Table1[[#This Row],[Employee Name]])</f>
        <v>PRIYA</v>
      </c>
      <c r="G83" s="3" t="s">
        <v>18</v>
      </c>
      <c r="H83" s="3" t="str">
        <f>_xlfn.CONCAT(Table1[[#This Row],[7.TRIM]],"-",Table1[[#This Row],[DepaRtmenT]])</f>
        <v>PRIYA-Sales</v>
      </c>
      <c r="I83" s="3" t="str">
        <f>PROPER(Table1[[#This Row],[DepaRtmenT]])</f>
        <v>Sales</v>
      </c>
      <c r="J83" s="3" t="str">
        <f>IF(OR(Table1[[#This Row],[DepaRtmenT]]="HR",Table1[[#This Row],[DepaRtmenT]]="FINANCE"),"YES","NO")</f>
        <v>NO</v>
      </c>
      <c r="K83" s="3" t="s">
        <v>33</v>
      </c>
      <c r="L83" s="3" t="str">
        <f>LEFT(Table1[[#This Row],[Designation]],5)</f>
        <v>Execu</v>
      </c>
      <c r="M83" s="3" t="s">
        <v>12</v>
      </c>
      <c r="N83" s="3" t="s">
        <v>21</v>
      </c>
      <c r="O83" s="3" t="s">
        <v>22</v>
      </c>
      <c r="P83" s="3" t="str">
        <f>LEFT(Table1[[#This Row],[City]],3)</f>
        <v>Tri</v>
      </c>
      <c r="Q83" s="3">
        <f>MONTH(Table1[[#This Row],[2.DD-MMM-YYY]])</f>
        <v>10</v>
      </c>
      <c r="R83" s="3" t="str">
        <f>TEXT(Table1[[#This Row],[Joining Date]],"DD-MMM-YYYY")</f>
        <v>09-Oct-2022</v>
      </c>
      <c r="S83" s="3">
        <f ca="1">NETWORKDAYS(Table1[[#This Row],[Joining Date]],TODAY())</f>
        <v>1044</v>
      </c>
      <c r="T83" s="3">
        <f>YEAR(Table1[[#This Row],[Joining Date]])</f>
        <v>2022</v>
      </c>
      <c r="U83" s="3" t="s">
        <v>208</v>
      </c>
      <c r="V83" s="3" t="str">
        <f>IF(Table1[[#This Row],[Experience (Years)]]&gt;5,"experience","fresher")</f>
        <v>fresher</v>
      </c>
      <c r="W83" s="3">
        <v>2</v>
      </c>
      <c r="X83" s="3" t="str">
        <f>IF(Table1[[#This Row],[Experience (Years)]]&lt;=2,"JUNIOR",IF(Table1[[#This Row],[Experience (Years)]]&lt;=5,"MID LEVEL","SENIOR"))</f>
        <v>JUNIOR</v>
      </c>
      <c r="Y83" s="3">
        <v>46000</v>
      </c>
      <c r="Z83" s="3" t="str">
        <f>IF(AND(Table1[[#This Row],[Experience (Years)]]&gt;5,Table1[[#This Row],[Status]]="ACTIVE"),"YES","NO")</f>
        <v>NO</v>
      </c>
      <c r="AA83" s="3" t="s">
        <v>16</v>
      </c>
    </row>
    <row r="84" spans="1:27" ht="18" x14ac:dyDescent="0.35">
      <c r="A84" t="str">
        <f>RIGHT(Table1[[#This Row],[Emp ID]],4)</f>
        <v>P083</v>
      </c>
      <c r="B84" s="3" t="s">
        <v>209</v>
      </c>
      <c r="C84" s="3">
        <f>FIND("A",Table1[[#This Row],[1.upper case]])</f>
        <v>1</v>
      </c>
      <c r="D84" s="3">
        <f>LEN(Table1[[#This Row],[7.TRIM]])</f>
        <v>5</v>
      </c>
      <c r="E84" s="3" t="str">
        <f>TRIM(Table1[[#This Row],[1.upper case]])</f>
        <v>ARJUN</v>
      </c>
      <c r="F84" s="3" t="str">
        <f>UPPER(Table1[[#This Row],[Employee Name]])</f>
        <v>ARJUN</v>
      </c>
      <c r="G84" s="3" t="s">
        <v>26</v>
      </c>
      <c r="H84" s="3" t="str">
        <f>_xlfn.CONCAT(Table1[[#This Row],[7.TRIM]],"-",Table1[[#This Row],[DepaRtmenT]])</f>
        <v>ARJUN-Marketing</v>
      </c>
      <c r="I84" s="3" t="str">
        <f>PROPER(Table1[[#This Row],[DepaRtmenT]])</f>
        <v>Marketing</v>
      </c>
      <c r="J84" s="3" t="str">
        <f>IF(OR(Table1[[#This Row],[DepaRtmenT]]="HR",Table1[[#This Row],[DepaRtmenT]]="FINANCE"),"YES","NO")</f>
        <v>NO</v>
      </c>
      <c r="K84" s="3" t="s">
        <v>37</v>
      </c>
      <c r="L84" s="3" t="str">
        <f>LEFT(Table1[[#This Row],[Designation]],5)</f>
        <v>Devel</v>
      </c>
      <c r="M84" s="3" t="s">
        <v>20</v>
      </c>
      <c r="N84" s="3" t="s">
        <v>13</v>
      </c>
      <c r="O84" s="3" t="s">
        <v>14</v>
      </c>
      <c r="P84" s="3" t="str">
        <f>LEFT(Table1[[#This Row],[City]],3)</f>
        <v>Koc</v>
      </c>
      <c r="Q84" s="3">
        <f>MONTH(Table1[[#This Row],[2.DD-MMM-YYY]])</f>
        <v>10</v>
      </c>
      <c r="R84" s="3" t="str">
        <f>TEXT(Table1[[#This Row],[Joining Date]],"DD-MMM-YYYY")</f>
        <v>26-Oct-2022</v>
      </c>
      <c r="S84" s="3">
        <f ca="1">NETWORKDAYS(Table1[[#This Row],[Joining Date]],TODAY())</f>
        <v>1032</v>
      </c>
      <c r="T84" s="3">
        <f>YEAR(Table1[[#This Row],[Joining Date]])</f>
        <v>2022</v>
      </c>
      <c r="U84" s="3" t="s">
        <v>210</v>
      </c>
      <c r="V84" s="3" t="str">
        <f>IF(Table1[[#This Row],[Experience (Years)]]&gt;5,"experience","fresher")</f>
        <v>fresher</v>
      </c>
      <c r="W84" s="3">
        <v>3</v>
      </c>
      <c r="X84" s="3" t="str">
        <f>IF(Table1[[#This Row],[Experience (Years)]]&lt;=2,"JUNIOR",IF(Table1[[#This Row],[Experience (Years)]]&lt;=5,"MID LEVEL","SENIOR"))</f>
        <v>MID LEVEL</v>
      </c>
      <c r="Y84" s="3">
        <v>49500</v>
      </c>
      <c r="Z84" s="3" t="str">
        <f>IF(AND(Table1[[#This Row],[Experience (Years)]]&gt;5,Table1[[#This Row],[Status]]="ACTIVE"),"YES","NO")</f>
        <v>NO</v>
      </c>
      <c r="AA84" s="3" t="s">
        <v>24</v>
      </c>
    </row>
    <row r="85" spans="1:27" ht="18" x14ac:dyDescent="0.35">
      <c r="A85" t="str">
        <f>RIGHT(Table1[[#This Row],[Emp ID]],4)</f>
        <v>P084</v>
      </c>
      <c r="B85" s="3" t="s">
        <v>211</v>
      </c>
      <c r="C85" s="3">
        <f>FIND("A",Table1[[#This Row],[1.upper case]])</f>
        <v>1</v>
      </c>
      <c r="D85" s="3">
        <f>LEN(Table1[[#This Row],[7.TRIM]])</f>
        <v>6</v>
      </c>
      <c r="E85" s="3" t="str">
        <f>TRIM(Table1[[#This Row],[1.upper case]])</f>
        <v>ANJALI</v>
      </c>
      <c r="F85" s="3" t="str">
        <f>UPPER(Table1[[#This Row],[Employee Name]])</f>
        <v>ANJALI</v>
      </c>
      <c r="G85" s="3" t="s">
        <v>32</v>
      </c>
      <c r="H85" s="3" t="str">
        <f>_xlfn.CONCAT(Table1[[#This Row],[7.TRIM]],"-",Table1[[#This Row],[DepaRtmenT]])</f>
        <v>ANJALI-Operations</v>
      </c>
      <c r="I85" s="3" t="str">
        <f>PROPER(Table1[[#This Row],[DepaRtmenT]])</f>
        <v>Operations</v>
      </c>
      <c r="J85" s="3" t="str">
        <f>IF(OR(Table1[[#This Row],[DepaRtmenT]]="HR",Table1[[#This Row],[DepaRtmenT]]="FINANCE"),"YES","NO")</f>
        <v>NO</v>
      </c>
      <c r="K85" s="3" t="s">
        <v>41</v>
      </c>
      <c r="L85" s="3" t="str">
        <f>LEFT(Table1[[#This Row],[Designation]],5)</f>
        <v>Assoc</v>
      </c>
      <c r="M85" s="3" t="s">
        <v>28</v>
      </c>
      <c r="N85" s="3" t="s">
        <v>21</v>
      </c>
      <c r="O85" s="3" t="s">
        <v>22</v>
      </c>
      <c r="P85" s="3" t="str">
        <f>LEFT(Table1[[#This Row],[City]],3)</f>
        <v>Tri</v>
      </c>
      <c r="Q85" s="3">
        <f>MONTH(Table1[[#This Row],[2.DD-MMM-YYY]])</f>
        <v>11</v>
      </c>
      <c r="R85" s="3" t="str">
        <f>TEXT(Table1[[#This Row],[Joining Date]],"DD-MMM-YYYY")</f>
        <v>12-Nov-2022</v>
      </c>
      <c r="S85" s="3">
        <f ca="1">NETWORKDAYS(Table1[[#This Row],[Joining Date]],TODAY())</f>
        <v>1019</v>
      </c>
      <c r="T85" s="3">
        <f>YEAR(Table1[[#This Row],[Joining Date]])</f>
        <v>2022</v>
      </c>
      <c r="U85" s="3" t="s">
        <v>212</v>
      </c>
      <c r="V85" s="3" t="str">
        <f>IF(Table1[[#This Row],[Experience (Years)]]&gt;5,"experience","fresher")</f>
        <v>fresher</v>
      </c>
      <c r="W85" s="3">
        <v>4</v>
      </c>
      <c r="X85" s="3" t="str">
        <f>IF(Table1[[#This Row],[Experience (Years)]]&lt;=2,"JUNIOR",IF(Table1[[#This Row],[Experience (Years)]]&lt;=5,"MID LEVEL","SENIOR"))</f>
        <v>MID LEVEL</v>
      </c>
      <c r="Y85" s="3">
        <v>53000</v>
      </c>
      <c r="Z85" s="3" t="str">
        <f>IF(AND(Table1[[#This Row],[Experience (Years)]]&gt;5,Table1[[#This Row],[Status]]="ACTIVE"),"YES","NO")</f>
        <v>NO</v>
      </c>
      <c r="AA85" s="3" t="s">
        <v>30</v>
      </c>
    </row>
    <row r="86" spans="1:27" ht="18" x14ac:dyDescent="0.35">
      <c r="A86" t="str">
        <f>RIGHT(Table1[[#This Row],[Emp ID]],4)</f>
        <v>P085</v>
      </c>
      <c r="B86" s="3" t="s">
        <v>213</v>
      </c>
      <c r="C86" s="3">
        <f>FIND("A",Table1[[#This Row],[1.upper case]])</f>
        <v>1</v>
      </c>
      <c r="D86" s="3">
        <f>LEN(Table1[[#This Row],[7.TRIM]])</f>
        <v>5</v>
      </c>
      <c r="E86" s="3" t="str">
        <f>TRIM(Table1[[#This Row],[1.upper case]])</f>
        <v>AKHIL</v>
      </c>
      <c r="F86" s="3" t="str">
        <f>UPPER(Table1[[#This Row],[Employee Name]])</f>
        <v>AKHIL</v>
      </c>
      <c r="G86" s="3" t="s">
        <v>36</v>
      </c>
      <c r="H86" s="3" t="str">
        <f>_xlfn.CONCAT(Table1[[#This Row],[7.TRIM]],"-",Table1[[#This Row],[DepaRtmenT]])</f>
        <v>AKHIL-HR</v>
      </c>
      <c r="I86" s="3" t="str">
        <f>PROPER(Table1[[#This Row],[DepaRtmenT]])</f>
        <v>Hr</v>
      </c>
      <c r="J86" s="3" t="str">
        <f>IF(OR(Table1[[#This Row],[DepaRtmenT]]="HR",Table1[[#This Row],[DepaRtmenT]]="FINANCE"),"YES","NO")</f>
        <v>YES</v>
      </c>
      <c r="K86" s="3" t="s">
        <v>11</v>
      </c>
      <c r="L86" s="3" t="str">
        <f>LEFT(Table1[[#This Row],[Designation]],5)</f>
        <v>Execu</v>
      </c>
      <c r="M86" s="3" t="s">
        <v>12</v>
      </c>
      <c r="N86" s="3" t="s">
        <v>13</v>
      </c>
      <c r="O86" s="3" t="s">
        <v>14</v>
      </c>
      <c r="P86" s="3" t="str">
        <f>LEFT(Table1[[#This Row],[City]],3)</f>
        <v>Koc</v>
      </c>
      <c r="Q86" s="3">
        <f>MONTH(Table1[[#This Row],[2.DD-MMM-YYY]])</f>
        <v>11</v>
      </c>
      <c r="R86" s="3" t="str">
        <f>TEXT(Table1[[#This Row],[Joining Date]],"DD-MMM-YYYY")</f>
        <v>29-Nov-2022</v>
      </c>
      <c r="S86" s="3">
        <f ca="1">NETWORKDAYS(Table1[[#This Row],[Joining Date]],TODAY())</f>
        <v>1008</v>
      </c>
      <c r="T86" s="3">
        <f>YEAR(Table1[[#This Row],[Joining Date]])</f>
        <v>2022</v>
      </c>
      <c r="U86" s="3" t="s">
        <v>214</v>
      </c>
      <c r="V86" s="3" t="str">
        <f>IF(Table1[[#This Row],[Experience (Years)]]&gt;5,"experience","fresher")</f>
        <v>fresher</v>
      </c>
      <c r="W86" s="3">
        <v>5</v>
      </c>
      <c r="X86" s="3" t="str">
        <f>IF(Table1[[#This Row],[Experience (Years)]]&lt;=2,"JUNIOR",IF(Table1[[#This Row],[Experience (Years)]]&lt;=5,"MID LEVEL","SENIOR"))</f>
        <v>MID LEVEL</v>
      </c>
      <c r="Y86" s="3">
        <v>56500</v>
      </c>
      <c r="Z86" s="3" t="str">
        <f>IF(AND(Table1[[#This Row],[Experience (Years)]]&gt;5,Table1[[#This Row],[Status]]="ACTIVE"),"YES","NO")</f>
        <v>NO</v>
      </c>
      <c r="AA86" s="3" t="s">
        <v>16</v>
      </c>
    </row>
    <row r="87" spans="1:27" ht="18" x14ac:dyDescent="0.35">
      <c r="A87" t="str">
        <f>RIGHT(Table1[[#This Row],[Emp ID]],4)</f>
        <v>P086</v>
      </c>
      <c r="B87" s="3" t="s">
        <v>215</v>
      </c>
      <c r="C87" s="3">
        <f>FIND("A",Table1[[#This Row],[1.upper case]])</f>
        <v>5</v>
      </c>
      <c r="D87" s="3">
        <f>LEN(Table1[[#This Row],[7.TRIM]])</f>
        <v>5</v>
      </c>
      <c r="E87" s="3" t="str">
        <f>TRIM(Table1[[#This Row],[1.upper case]])</f>
        <v>MEERA</v>
      </c>
      <c r="F87" s="3" t="str">
        <f>UPPER(Table1[[#This Row],[Employee Name]])</f>
        <v>MEERA</v>
      </c>
      <c r="G87" s="3" t="s">
        <v>40</v>
      </c>
      <c r="H87" s="3" t="str">
        <f>_xlfn.CONCAT(Table1[[#This Row],[7.TRIM]],"-",Table1[[#This Row],[DepaRtmenT]])</f>
        <v>MEERA-IT</v>
      </c>
      <c r="I87" s="3" t="str">
        <f>PROPER(Table1[[#This Row],[DepaRtmenT]])</f>
        <v>It</v>
      </c>
      <c r="J87" s="3" t="str">
        <f>IF(OR(Table1[[#This Row],[DepaRtmenT]]="HR",Table1[[#This Row],[DepaRtmenT]]="FINANCE"),"YES","NO")</f>
        <v>NO</v>
      </c>
      <c r="K87" s="3" t="s">
        <v>19</v>
      </c>
      <c r="L87" s="3" t="str">
        <f>LEFT(Table1[[#This Row],[Designation]],5)</f>
        <v>Devel</v>
      </c>
      <c r="M87" s="3" t="s">
        <v>20</v>
      </c>
      <c r="N87" s="3" t="s">
        <v>21</v>
      </c>
      <c r="O87" s="3" t="s">
        <v>22</v>
      </c>
      <c r="P87" s="3" t="str">
        <f>LEFT(Table1[[#This Row],[City]],3)</f>
        <v>Tri</v>
      </c>
      <c r="Q87" s="3">
        <f>MONTH(Table1[[#This Row],[2.DD-MMM-YYY]])</f>
        <v>12</v>
      </c>
      <c r="R87" s="3" t="str">
        <f>TEXT(Table1[[#This Row],[Joining Date]],"DD-MMM-YYYY")</f>
        <v>16-Dec-2022</v>
      </c>
      <c r="S87" s="3">
        <f ca="1">NETWORKDAYS(Table1[[#This Row],[Joining Date]],TODAY())</f>
        <v>995</v>
      </c>
      <c r="T87" s="3">
        <f>YEAR(Table1[[#This Row],[Joining Date]])</f>
        <v>2022</v>
      </c>
      <c r="U87" s="3" t="s">
        <v>216</v>
      </c>
      <c r="V87" s="3" t="str">
        <f>IF(Table1[[#This Row],[Experience (Years)]]&gt;5,"experience","fresher")</f>
        <v>experience</v>
      </c>
      <c r="W87" s="3">
        <v>6</v>
      </c>
      <c r="X87" s="3" t="str">
        <f>IF(Table1[[#This Row],[Experience (Years)]]&lt;=2,"JUNIOR",IF(Table1[[#This Row],[Experience (Years)]]&lt;=5,"MID LEVEL","SENIOR"))</f>
        <v>SENIOR</v>
      </c>
      <c r="Y87" s="3">
        <v>60000</v>
      </c>
      <c r="Z87" s="3" t="str">
        <f>IF(AND(Table1[[#This Row],[Experience (Years)]]&gt;5,Table1[[#This Row],[Status]]="ACTIVE"),"YES","NO")</f>
        <v>NO</v>
      </c>
      <c r="AA87" s="3" t="s">
        <v>24</v>
      </c>
    </row>
    <row r="88" spans="1:27" ht="18" x14ac:dyDescent="0.35">
      <c r="A88" t="str">
        <f>RIGHT(Table1[[#This Row],[Emp ID]],4)</f>
        <v>P087</v>
      </c>
      <c r="B88" s="3" t="s">
        <v>217</v>
      </c>
      <c r="C88" s="3" t="e">
        <f>FIND("A",Table1[[#This Row],[1.upper case]])</f>
        <v>#VALUE!</v>
      </c>
      <c r="D88" s="3">
        <f>LEN(Table1[[#This Row],[7.TRIM]])</f>
        <v>6</v>
      </c>
      <c r="E88" s="3" t="str">
        <f>TRIM(Table1[[#This Row],[1.upper case]])</f>
        <v>VISHNU</v>
      </c>
      <c r="F88" s="3" t="str">
        <f>UPPER(Table1[[#This Row],[Employee Name]])</f>
        <v>VISHNU</v>
      </c>
      <c r="G88" s="3" t="s">
        <v>44</v>
      </c>
      <c r="H88" s="3" t="str">
        <f>_xlfn.CONCAT(Table1[[#This Row],[7.TRIM]],"-",Table1[[#This Row],[DepaRtmenT]])</f>
        <v>VISHNU-Finance</v>
      </c>
      <c r="I88" s="3" t="str">
        <f>PROPER(Table1[[#This Row],[DepaRtmenT]])</f>
        <v>Finance</v>
      </c>
      <c r="J88" s="3" t="str">
        <f>IF(OR(Table1[[#This Row],[DepaRtmenT]]="HR",Table1[[#This Row],[DepaRtmenT]]="FINANCE"),"YES","NO")</f>
        <v>YES</v>
      </c>
      <c r="K88" s="3" t="s">
        <v>27</v>
      </c>
      <c r="L88" s="3" t="str">
        <f>LEFT(Table1[[#This Row],[Designation]],5)</f>
        <v>Assoc</v>
      </c>
      <c r="M88" s="3" t="s">
        <v>28</v>
      </c>
      <c r="N88" s="3" t="s">
        <v>13</v>
      </c>
      <c r="O88" s="3" t="s">
        <v>14</v>
      </c>
      <c r="P88" s="3" t="str">
        <f>LEFT(Table1[[#This Row],[City]],3)</f>
        <v>Koc</v>
      </c>
      <c r="Q88" s="3">
        <f>MONTH(Table1[[#This Row],[2.DD-MMM-YYY]])</f>
        <v>1</v>
      </c>
      <c r="R88" s="3" t="str">
        <f>TEXT(Table1[[#This Row],[Joining Date]],"DD-MMM-YYYY")</f>
        <v>02-Jan-2023</v>
      </c>
      <c r="S88" s="3">
        <f ca="1">NETWORKDAYS(Table1[[#This Row],[Joining Date]],TODAY())</f>
        <v>984</v>
      </c>
      <c r="T88" s="3">
        <f>YEAR(Table1[[#This Row],[Joining Date]])</f>
        <v>2023</v>
      </c>
      <c r="U88" s="3" t="s">
        <v>218</v>
      </c>
      <c r="V88" s="3" t="str">
        <f>IF(Table1[[#This Row],[Experience (Years)]]&gt;5,"experience","fresher")</f>
        <v>experience</v>
      </c>
      <c r="W88" s="3">
        <v>7</v>
      </c>
      <c r="X88" s="3" t="str">
        <f>IF(Table1[[#This Row],[Experience (Years)]]&lt;=2,"JUNIOR",IF(Table1[[#This Row],[Experience (Years)]]&lt;=5,"MID LEVEL","SENIOR"))</f>
        <v>SENIOR</v>
      </c>
      <c r="Y88" s="3">
        <v>63500</v>
      </c>
      <c r="Z88" s="3" t="str">
        <f>IF(AND(Table1[[#This Row],[Experience (Years)]]&gt;5,Table1[[#This Row],[Status]]="ACTIVE"),"YES","NO")</f>
        <v>NO</v>
      </c>
      <c r="AA88" s="3" t="s">
        <v>30</v>
      </c>
    </row>
    <row r="89" spans="1:27" ht="18" x14ac:dyDescent="0.35">
      <c r="A89" t="str">
        <f>RIGHT(Table1[[#This Row],[Emp ID]],4)</f>
        <v>P088</v>
      </c>
      <c r="B89" s="3" t="s">
        <v>219</v>
      </c>
      <c r="C89" s="3">
        <f>FIND("A",Table1[[#This Row],[1.upper case]])</f>
        <v>4</v>
      </c>
      <c r="D89" s="3">
        <f>LEN(Table1[[#This Row],[7.TRIM]])</f>
        <v>4</v>
      </c>
      <c r="E89" s="3" t="str">
        <f>TRIM(Table1[[#This Row],[1.upper case]])</f>
        <v>NEHA</v>
      </c>
      <c r="F89" s="3" t="str">
        <f>UPPER(Table1[[#This Row],[Employee Name]])</f>
        <v>NEHA</v>
      </c>
      <c r="G89" s="3" t="s">
        <v>47</v>
      </c>
      <c r="H89" s="3" t="str">
        <f>_xlfn.CONCAT(Table1[[#This Row],[7.TRIM]],"-",Table1[[#This Row],[DepaRtmenT]])</f>
        <v>NEHA-Sales</v>
      </c>
      <c r="I89" s="3" t="str">
        <f>PROPER(Table1[[#This Row],[DepaRtmenT]])</f>
        <v>Sales</v>
      </c>
      <c r="J89" s="3" t="str">
        <f>IF(OR(Table1[[#This Row],[DepaRtmenT]]="HR",Table1[[#This Row],[DepaRtmenT]]="FINANCE"),"YES","NO")</f>
        <v>NO</v>
      </c>
      <c r="K89" s="3" t="s">
        <v>33</v>
      </c>
      <c r="L89" s="3" t="str">
        <f>LEFT(Table1[[#This Row],[Designation]],5)</f>
        <v>Execu</v>
      </c>
      <c r="M89" s="3" t="s">
        <v>12</v>
      </c>
      <c r="N89" s="3" t="s">
        <v>21</v>
      </c>
      <c r="O89" s="3" t="s">
        <v>22</v>
      </c>
      <c r="P89" s="3" t="str">
        <f>LEFT(Table1[[#This Row],[City]],3)</f>
        <v>Tri</v>
      </c>
      <c r="Q89" s="3">
        <f>MONTH(Table1[[#This Row],[2.DD-MMM-YYY]])</f>
        <v>1</v>
      </c>
      <c r="R89" s="3" t="str">
        <f>TEXT(Table1[[#This Row],[Joining Date]],"DD-MMM-YYYY")</f>
        <v>19-Jan-2023</v>
      </c>
      <c r="S89" s="3">
        <f ca="1">NETWORKDAYS(Table1[[#This Row],[Joining Date]],TODAY())</f>
        <v>971</v>
      </c>
      <c r="T89" s="3">
        <f>YEAR(Table1[[#This Row],[Joining Date]])</f>
        <v>2023</v>
      </c>
      <c r="U89" s="3" t="s">
        <v>220</v>
      </c>
      <c r="V89" s="3" t="str">
        <f>IF(Table1[[#This Row],[Experience (Years)]]&gt;5,"experience","fresher")</f>
        <v>experience</v>
      </c>
      <c r="W89" s="3">
        <v>8</v>
      </c>
      <c r="X89" s="3" t="str">
        <f>IF(Table1[[#This Row],[Experience (Years)]]&lt;=2,"JUNIOR",IF(Table1[[#This Row],[Experience (Years)]]&lt;=5,"MID LEVEL","SENIOR"))</f>
        <v>SENIOR</v>
      </c>
      <c r="Y89" s="3">
        <v>67000</v>
      </c>
      <c r="Z89" s="3" t="str">
        <f>IF(AND(Table1[[#This Row],[Experience (Years)]]&gt;5,Table1[[#This Row],[Status]]="ACTIVE"),"YES","NO")</f>
        <v>YES</v>
      </c>
      <c r="AA89" s="3" t="s">
        <v>16</v>
      </c>
    </row>
    <row r="90" spans="1:27" ht="18" x14ac:dyDescent="0.35">
      <c r="A90" t="str">
        <f>RIGHT(Table1[[#This Row],[Emp ID]],4)</f>
        <v>P089</v>
      </c>
      <c r="B90" s="3" t="s">
        <v>221</v>
      </c>
      <c r="C90" s="3">
        <f>FIND("A",Table1[[#This Row],[1.upper case]])</f>
        <v>4</v>
      </c>
      <c r="D90" s="3">
        <f>LEN(Table1[[#This Row],[7.TRIM]])</f>
        <v>5</v>
      </c>
      <c r="E90" s="3" t="str">
        <f>TRIM(Table1[[#This Row],[1.upper case]])</f>
        <v>KIRAN</v>
      </c>
      <c r="F90" s="3" t="str">
        <f>UPPER(Table1[[#This Row],[Employee Name]])</f>
        <v>KIRAN</v>
      </c>
      <c r="G90" s="3" t="s">
        <v>50</v>
      </c>
      <c r="H90" s="3" t="str">
        <f>_xlfn.CONCAT(Table1[[#This Row],[7.TRIM]],"-",Table1[[#This Row],[DepaRtmenT]])</f>
        <v>KIRAN-Marketing</v>
      </c>
      <c r="I90" s="3" t="str">
        <f>PROPER(Table1[[#This Row],[DepaRtmenT]])</f>
        <v>Marketing</v>
      </c>
      <c r="J90" s="3" t="str">
        <f>IF(OR(Table1[[#This Row],[DepaRtmenT]]="HR",Table1[[#This Row],[DepaRtmenT]]="FINANCE"),"YES","NO")</f>
        <v>NO</v>
      </c>
      <c r="K90" s="3" t="s">
        <v>37</v>
      </c>
      <c r="L90" s="3" t="str">
        <f>LEFT(Table1[[#This Row],[Designation]],5)</f>
        <v>Devel</v>
      </c>
      <c r="M90" s="3" t="s">
        <v>20</v>
      </c>
      <c r="N90" s="3" t="s">
        <v>13</v>
      </c>
      <c r="O90" s="3" t="s">
        <v>14</v>
      </c>
      <c r="P90" s="3" t="str">
        <f>LEFT(Table1[[#This Row],[City]],3)</f>
        <v>Koc</v>
      </c>
      <c r="Q90" s="3">
        <f>MONTH(Table1[[#This Row],[2.DD-MMM-YYY]])</f>
        <v>2</v>
      </c>
      <c r="R90" s="3" t="str">
        <f>TEXT(Table1[[#This Row],[Joining Date]],"DD-MMM-YYYY")</f>
        <v>05-Feb-2023</v>
      </c>
      <c r="S90" s="3">
        <f ca="1">NETWORKDAYS(Table1[[#This Row],[Joining Date]],TODAY())</f>
        <v>959</v>
      </c>
      <c r="T90" s="3">
        <f>YEAR(Table1[[#This Row],[Joining Date]])</f>
        <v>2023</v>
      </c>
      <c r="U90" s="3" t="s">
        <v>222</v>
      </c>
      <c r="V90" s="3" t="str">
        <f>IF(Table1[[#This Row],[Experience (Years)]]&gt;5,"experience","fresher")</f>
        <v>fresher</v>
      </c>
      <c r="W90" s="3">
        <v>1</v>
      </c>
      <c r="X90" s="3" t="str">
        <f>IF(Table1[[#This Row],[Experience (Years)]]&lt;=2,"JUNIOR",IF(Table1[[#This Row],[Experience (Years)]]&lt;=5,"MID LEVEL","SENIOR"))</f>
        <v>JUNIOR</v>
      </c>
      <c r="Y90" s="3">
        <v>70500</v>
      </c>
      <c r="Z90" s="3" t="str">
        <f>IF(AND(Table1[[#This Row],[Experience (Years)]]&gt;5,Table1[[#This Row],[Status]]="ACTIVE"),"YES","NO")</f>
        <v>NO</v>
      </c>
      <c r="AA90" s="3" t="s">
        <v>24</v>
      </c>
    </row>
    <row r="91" spans="1:27" ht="18" x14ac:dyDescent="0.35">
      <c r="A91" t="str">
        <f>RIGHT(Table1[[#This Row],[Emp ID]],4)</f>
        <v>P090</v>
      </c>
      <c r="B91" s="3" t="s">
        <v>223</v>
      </c>
      <c r="C91" s="3">
        <f>FIND("A",Table1[[#This Row],[1.upper case]])</f>
        <v>5</v>
      </c>
      <c r="D91" s="3">
        <f>LEN(Table1[[#This Row],[7.TRIM]])</f>
        <v>5</v>
      </c>
      <c r="E91" s="3" t="str">
        <f>TRIM(Table1[[#This Row],[1.upper case]])</f>
        <v>SNEHA</v>
      </c>
      <c r="F91" s="3" t="str">
        <f>UPPER(Table1[[#This Row],[Employee Name]])</f>
        <v>SNEHA</v>
      </c>
      <c r="G91" s="3" t="s">
        <v>53</v>
      </c>
      <c r="H91" s="3" t="str">
        <f>_xlfn.CONCAT(Table1[[#This Row],[7.TRIM]],"-",Table1[[#This Row],[DepaRtmenT]])</f>
        <v>SNEHA-Operations</v>
      </c>
      <c r="I91" s="3" t="str">
        <f>PROPER(Table1[[#This Row],[DepaRtmenT]])</f>
        <v>Operations</v>
      </c>
      <c r="J91" s="3" t="str">
        <f>IF(OR(Table1[[#This Row],[DepaRtmenT]]="HR",Table1[[#This Row],[DepaRtmenT]]="FINANCE"),"YES","NO")</f>
        <v>NO</v>
      </c>
      <c r="K91" s="3" t="s">
        <v>41</v>
      </c>
      <c r="L91" s="3" t="str">
        <f>LEFT(Table1[[#This Row],[Designation]],5)</f>
        <v>Assoc</v>
      </c>
      <c r="M91" s="3" t="s">
        <v>28</v>
      </c>
      <c r="N91" s="3" t="s">
        <v>21</v>
      </c>
      <c r="O91" s="3" t="s">
        <v>22</v>
      </c>
      <c r="P91" s="3" t="str">
        <f>LEFT(Table1[[#This Row],[City]],3)</f>
        <v>Tri</v>
      </c>
      <c r="Q91" s="3">
        <f>MONTH(Table1[[#This Row],[2.DD-MMM-YYY]])</f>
        <v>2</v>
      </c>
      <c r="R91" s="3" t="str">
        <f>TEXT(Table1[[#This Row],[Joining Date]],"DD-MMM-YYYY")</f>
        <v>22-Feb-2023</v>
      </c>
      <c r="S91" s="3">
        <f ca="1">NETWORKDAYS(Table1[[#This Row],[Joining Date]],TODAY())</f>
        <v>947</v>
      </c>
      <c r="T91" s="3">
        <f>YEAR(Table1[[#This Row],[Joining Date]])</f>
        <v>2023</v>
      </c>
      <c r="U91" s="3" t="s">
        <v>224</v>
      </c>
      <c r="V91" s="3" t="str">
        <f>IF(Table1[[#This Row],[Experience (Years)]]&gt;5,"experience","fresher")</f>
        <v>fresher</v>
      </c>
      <c r="W91" s="3">
        <v>2</v>
      </c>
      <c r="X91" s="3" t="str">
        <f>IF(Table1[[#This Row],[Experience (Years)]]&lt;=2,"JUNIOR",IF(Table1[[#This Row],[Experience (Years)]]&lt;=5,"MID LEVEL","SENIOR"))</f>
        <v>JUNIOR</v>
      </c>
      <c r="Y91" s="3">
        <v>74000</v>
      </c>
      <c r="Z91" s="3" t="str">
        <f>IF(AND(Table1[[#This Row],[Experience (Years)]]&gt;5,Table1[[#This Row],[Status]]="ACTIVE"),"YES","NO")</f>
        <v>NO</v>
      </c>
      <c r="AA91" s="3" t="s">
        <v>30</v>
      </c>
    </row>
    <row r="92" spans="1:27" ht="18" x14ac:dyDescent="0.35">
      <c r="A92" t="str">
        <f>RIGHT(Table1[[#This Row],[Emp ID]],4)</f>
        <v>P091</v>
      </c>
      <c r="B92" s="3" t="s">
        <v>225</v>
      </c>
      <c r="C92" s="3" t="e">
        <f>FIND("A",Table1[[#This Row],[1.upper case]])</f>
        <v>#VALUE!</v>
      </c>
      <c r="D92" s="3">
        <f>LEN(Table1[[#This Row],[7.TRIM]])</f>
        <v>5</v>
      </c>
      <c r="E92" s="3" t="str">
        <f>TRIM(Table1[[#This Row],[1.upper case]])</f>
        <v>ROHIT</v>
      </c>
      <c r="F92" s="3" t="str">
        <f>UPPER(Table1[[#This Row],[Employee Name]])</f>
        <v>ROHIT</v>
      </c>
      <c r="G92" s="3" t="s">
        <v>56</v>
      </c>
      <c r="H92" s="3" t="str">
        <f>_xlfn.CONCAT(Table1[[#This Row],[7.TRIM]],"-",Table1[[#This Row],[DepaRtmenT]])</f>
        <v>ROHIT-HR</v>
      </c>
      <c r="I92" s="3" t="str">
        <f>PROPER(Table1[[#This Row],[DepaRtmenT]])</f>
        <v>Hr</v>
      </c>
      <c r="J92" s="3" t="str">
        <f>IF(OR(Table1[[#This Row],[DepaRtmenT]]="HR",Table1[[#This Row],[DepaRtmenT]]="FINANCE"),"YES","NO")</f>
        <v>YES</v>
      </c>
      <c r="K92" s="3" t="s">
        <v>11</v>
      </c>
      <c r="L92" s="3" t="str">
        <f>LEFT(Table1[[#This Row],[Designation]],5)</f>
        <v>Execu</v>
      </c>
      <c r="M92" s="3" t="s">
        <v>12</v>
      </c>
      <c r="N92" s="3" t="s">
        <v>13</v>
      </c>
      <c r="O92" s="3" t="s">
        <v>14</v>
      </c>
      <c r="P92" s="3" t="str">
        <f>LEFT(Table1[[#This Row],[City]],3)</f>
        <v>Koc</v>
      </c>
      <c r="Q92" s="3">
        <f>MONTH(Table1[[#This Row],[2.DD-MMM-YYY]])</f>
        <v>3</v>
      </c>
      <c r="R92" s="3" t="str">
        <f>TEXT(Table1[[#This Row],[Joining Date]],"DD-MMM-YYYY")</f>
        <v>11-Mar-2023</v>
      </c>
      <c r="S92" s="3">
        <f ca="1">NETWORKDAYS(Table1[[#This Row],[Joining Date]],TODAY())</f>
        <v>934</v>
      </c>
      <c r="T92" s="3">
        <f>YEAR(Table1[[#This Row],[Joining Date]])</f>
        <v>2023</v>
      </c>
      <c r="U92" s="3" t="s">
        <v>226</v>
      </c>
      <c r="V92" s="3" t="str">
        <f>IF(Table1[[#This Row],[Experience (Years)]]&gt;5,"experience","fresher")</f>
        <v>fresher</v>
      </c>
      <c r="W92" s="3">
        <v>3</v>
      </c>
      <c r="X92" s="3" t="str">
        <f>IF(Table1[[#This Row],[Experience (Years)]]&lt;=2,"JUNIOR",IF(Table1[[#This Row],[Experience (Years)]]&lt;=5,"MID LEVEL","SENIOR"))</f>
        <v>MID LEVEL</v>
      </c>
      <c r="Y92" s="3">
        <v>25000</v>
      </c>
      <c r="Z92" s="3" t="str">
        <f>IF(AND(Table1[[#This Row],[Experience (Years)]]&gt;5,Table1[[#This Row],[Status]]="ACTIVE"),"YES","NO")</f>
        <v>NO</v>
      </c>
      <c r="AA92" s="3" t="s">
        <v>16</v>
      </c>
    </row>
    <row r="93" spans="1:27" ht="18" x14ac:dyDescent="0.35">
      <c r="A93" t="str">
        <f>RIGHT(Table1[[#This Row],[Emp ID]],4)</f>
        <v>P092</v>
      </c>
      <c r="B93" s="3" t="s">
        <v>227</v>
      </c>
      <c r="C93" s="3">
        <f>FIND("A",Table1[[#This Row],[1.upper case]])</f>
        <v>4</v>
      </c>
      <c r="D93" s="3">
        <f>LEN(Table1[[#This Row],[7.TRIM]])</f>
        <v>4</v>
      </c>
      <c r="E93" s="3" t="str">
        <f>TRIM(Table1[[#This Row],[1.upper case]])</f>
        <v>DIYA</v>
      </c>
      <c r="F93" s="3" t="str">
        <f>UPPER(Table1[[#This Row],[Employee Name]])</f>
        <v>DIYA</v>
      </c>
      <c r="G93" s="3" t="s">
        <v>59</v>
      </c>
      <c r="H93" s="3" t="str">
        <f>_xlfn.CONCAT(Table1[[#This Row],[7.TRIM]],"-",Table1[[#This Row],[DepaRtmenT]])</f>
        <v>DIYA-IT</v>
      </c>
      <c r="I93" s="3" t="str">
        <f>PROPER(Table1[[#This Row],[DepaRtmenT]])</f>
        <v>It</v>
      </c>
      <c r="J93" s="3" t="str">
        <f>IF(OR(Table1[[#This Row],[DepaRtmenT]]="HR",Table1[[#This Row],[DepaRtmenT]]="FINANCE"),"YES","NO")</f>
        <v>NO</v>
      </c>
      <c r="K93" s="3" t="s">
        <v>19</v>
      </c>
      <c r="L93" s="3" t="str">
        <f>LEFT(Table1[[#This Row],[Designation]],5)</f>
        <v>Devel</v>
      </c>
      <c r="M93" s="3" t="s">
        <v>20</v>
      </c>
      <c r="N93" s="3" t="s">
        <v>21</v>
      </c>
      <c r="O93" s="3" t="s">
        <v>22</v>
      </c>
      <c r="P93" s="3" t="str">
        <f>LEFT(Table1[[#This Row],[City]],3)</f>
        <v>Tri</v>
      </c>
      <c r="Q93" s="3">
        <f>MONTH(Table1[[#This Row],[2.DD-MMM-YYY]])</f>
        <v>3</v>
      </c>
      <c r="R93" s="3" t="str">
        <f>TEXT(Table1[[#This Row],[Joining Date]],"DD-MMM-YYYY")</f>
        <v>28-Mar-2023</v>
      </c>
      <c r="S93" s="3">
        <f ca="1">NETWORKDAYS(Table1[[#This Row],[Joining Date]],TODAY())</f>
        <v>923</v>
      </c>
      <c r="T93" s="3">
        <f>YEAR(Table1[[#This Row],[Joining Date]])</f>
        <v>2023</v>
      </c>
      <c r="U93" s="3" t="s">
        <v>228</v>
      </c>
      <c r="V93" s="3" t="str">
        <f>IF(Table1[[#This Row],[Experience (Years)]]&gt;5,"experience","fresher")</f>
        <v>fresher</v>
      </c>
      <c r="W93" s="3">
        <v>4</v>
      </c>
      <c r="X93" s="3" t="str">
        <f>IF(Table1[[#This Row],[Experience (Years)]]&lt;=2,"JUNIOR",IF(Table1[[#This Row],[Experience (Years)]]&lt;=5,"MID LEVEL","SENIOR"))</f>
        <v>MID LEVEL</v>
      </c>
      <c r="Y93" s="3">
        <v>28500</v>
      </c>
      <c r="Z93" s="3" t="str">
        <f>IF(AND(Table1[[#This Row],[Experience (Years)]]&gt;5,Table1[[#This Row],[Status]]="ACTIVE"),"YES","NO")</f>
        <v>NO</v>
      </c>
      <c r="AA93" s="3" t="s">
        <v>24</v>
      </c>
    </row>
    <row r="94" spans="1:27" ht="18" x14ac:dyDescent="0.35">
      <c r="A94" t="str">
        <f>RIGHT(Table1[[#This Row],[Emp ID]],4)</f>
        <v>P093</v>
      </c>
      <c r="B94" s="3" t="s">
        <v>229</v>
      </c>
      <c r="C94" s="3">
        <f>FIND("A",Table1[[#This Row],[1.upper case]])</f>
        <v>1</v>
      </c>
      <c r="D94" s="3">
        <f>LEN(Table1[[#This Row],[7.TRIM]])</f>
        <v>5</v>
      </c>
      <c r="E94" s="3" t="str">
        <f>TRIM(Table1[[#This Row],[1.upper case]])</f>
        <v>ANOOP</v>
      </c>
      <c r="F94" s="3" t="str">
        <f>UPPER(Table1[[#This Row],[Employee Name]])</f>
        <v>ANOOP</v>
      </c>
      <c r="G94" s="3" t="s">
        <v>62</v>
      </c>
      <c r="H94" s="3" t="str">
        <f>_xlfn.CONCAT(Table1[[#This Row],[7.TRIM]],"-",Table1[[#This Row],[DepaRtmenT]])</f>
        <v>ANOOP-Finance</v>
      </c>
      <c r="I94" s="3" t="str">
        <f>PROPER(Table1[[#This Row],[DepaRtmenT]])</f>
        <v>Finance</v>
      </c>
      <c r="J94" s="3" t="str">
        <f>IF(OR(Table1[[#This Row],[DepaRtmenT]]="HR",Table1[[#This Row],[DepaRtmenT]]="FINANCE"),"YES","NO")</f>
        <v>YES</v>
      </c>
      <c r="K94" s="3" t="s">
        <v>27</v>
      </c>
      <c r="L94" s="3" t="str">
        <f>LEFT(Table1[[#This Row],[Designation]],5)</f>
        <v>Assoc</v>
      </c>
      <c r="M94" s="3" t="s">
        <v>28</v>
      </c>
      <c r="N94" s="3" t="s">
        <v>13</v>
      </c>
      <c r="O94" s="3" t="s">
        <v>14</v>
      </c>
      <c r="P94" s="3" t="str">
        <f>LEFT(Table1[[#This Row],[City]],3)</f>
        <v>Koc</v>
      </c>
      <c r="Q94" s="3">
        <f>MONTH(Table1[[#This Row],[2.DD-MMM-YYY]])</f>
        <v>4</v>
      </c>
      <c r="R94" s="3" t="str">
        <f>TEXT(Table1[[#This Row],[Joining Date]],"DD-MMM-YYYY")</f>
        <v>14-Apr-2023</v>
      </c>
      <c r="S94" s="3">
        <f ca="1">NETWORKDAYS(Table1[[#This Row],[Joining Date]],TODAY())</f>
        <v>910</v>
      </c>
      <c r="T94" s="3">
        <f>YEAR(Table1[[#This Row],[Joining Date]])</f>
        <v>2023</v>
      </c>
      <c r="U94" s="3" t="s">
        <v>230</v>
      </c>
      <c r="V94" s="3" t="str">
        <f>IF(Table1[[#This Row],[Experience (Years)]]&gt;5,"experience","fresher")</f>
        <v>fresher</v>
      </c>
      <c r="W94" s="3">
        <v>5</v>
      </c>
      <c r="X94" s="3" t="str">
        <f>IF(Table1[[#This Row],[Experience (Years)]]&lt;=2,"JUNIOR",IF(Table1[[#This Row],[Experience (Years)]]&lt;=5,"MID LEVEL","SENIOR"))</f>
        <v>MID LEVEL</v>
      </c>
      <c r="Y94" s="3">
        <v>32000</v>
      </c>
      <c r="Z94" s="3" t="str">
        <f>IF(AND(Table1[[#This Row],[Experience (Years)]]&gt;5,Table1[[#This Row],[Status]]="ACTIVE"),"YES","NO")</f>
        <v>NO</v>
      </c>
      <c r="AA94" s="3" t="s">
        <v>30</v>
      </c>
    </row>
    <row r="95" spans="1:27" ht="18" x14ac:dyDescent="0.35">
      <c r="A95" t="str">
        <f>RIGHT(Table1[[#This Row],[Emp ID]],4)</f>
        <v>P094</v>
      </c>
      <c r="B95" s="3" t="s">
        <v>231</v>
      </c>
      <c r="C95" s="3">
        <f>FIND("A",Table1[[#This Row],[1.upper case]])</f>
        <v>6</v>
      </c>
      <c r="D95" s="3">
        <f>LEN(Table1[[#This Row],[7.TRIM]])</f>
        <v>6</v>
      </c>
      <c r="E95" s="3" t="str">
        <f>TRIM(Table1[[#This Row],[1.upper case]])</f>
        <v>NITHYA</v>
      </c>
      <c r="F95" s="3" t="str">
        <f>UPPER(Table1[[#This Row],[Employee Name]])</f>
        <v>NITHYA</v>
      </c>
      <c r="G95" s="3" t="s">
        <v>65</v>
      </c>
      <c r="H95" s="3" t="str">
        <f>_xlfn.CONCAT(Table1[[#This Row],[7.TRIM]],"-",Table1[[#This Row],[DepaRtmenT]])</f>
        <v>NITHYA-Sales</v>
      </c>
      <c r="I95" s="3" t="str">
        <f>PROPER(Table1[[#This Row],[DepaRtmenT]])</f>
        <v>Sales</v>
      </c>
      <c r="J95" s="3" t="str">
        <f>IF(OR(Table1[[#This Row],[DepaRtmenT]]="HR",Table1[[#This Row],[DepaRtmenT]]="FINANCE"),"YES","NO")</f>
        <v>NO</v>
      </c>
      <c r="K95" s="3" t="s">
        <v>33</v>
      </c>
      <c r="L95" s="3" t="str">
        <f>LEFT(Table1[[#This Row],[Designation]],5)</f>
        <v>Execu</v>
      </c>
      <c r="M95" s="3" t="s">
        <v>12</v>
      </c>
      <c r="N95" s="3" t="s">
        <v>21</v>
      </c>
      <c r="O95" s="3" t="s">
        <v>22</v>
      </c>
      <c r="P95" s="3" t="str">
        <f>LEFT(Table1[[#This Row],[City]],3)</f>
        <v>Tri</v>
      </c>
      <c r="Q95" s="3">
        <f>MONTH(Table1[[#This Row],[2.DD-MMM-YYY]])</f>
        <v>5</v>
      </c>
      <c r="R95" s="3" t="str">
        <f>TEXT(Table1[[#This Row],[Joining Date]],"DD-MMM-YYYY")</f>
        <v>01-May-2023</v>
      </c>
      <c r="S95" s="3">
        <f ca="1">NETWORKDAYS(Table1[[#This Row],[Joining Date]],TODAY())</f>
        <v>899</v>
      </c>
      <c r="T95" s="3">
        <f>YEAR(Table1[[#This Row],[Joining Date]])</f>
        <v>2023</v>
      </c>
      <c r="U95" s="3" t="s">
        <v>232</v>
      </c>
      <c r="V95" s="3" t="str">
        <f>IF(Table1[[#This Row],[Experience (Years)]]&gt;5,"experience","fresher")</f>
        <v>experience</v>
      </c>
      <c r="W95" s="3">
        <v>6</v>
      </c>
      <c r="X95" s="3" t="str">
        <f>IF(Table1[[#This Row],[Experience (Years)]]&lt;=2,"JUNIOR",IF(Table1[[#This Row],[Experience (Years)]]&lt;=5,"MID LEVEL","SENIOR"))</f>
        <v>SENIOR</v>
      </c>
      <c r="Y95" s="3">
        <v>35500</v>
      </c>
      <c r="Z95" s="3" t="str">
        <f>IF(AND(Table1[[#This Row],[Experience (Years)]]&gt;5,Table1[[#This Row],[Status]]="ACTIVE"),"YES","NO")</f>
        <v>YES</v>
      </c>
      <c r="AA95" s="3" t="s">
        <v>16</v>
      </c>
    </row>
    <row r="96" spans="1:27" ht="18" x14ac:dyDescent="0.35">
      <c r="A96" t="str">
        <f>RIGHT(Table1[[#This Row],[Emp ID]],4)</f>
        <v>P095</v>
      </c>
      <c r="B96" s="3" t="s">
        <v>233</v>
      </c>
      <c r="C96" s="3">
        <f>FIND("A",Table1[[#This Row],[1.upper case]])</f>
        <v>1</v>
      </c>
      <c r="D96" s="3">
        <f>LEN(Table1[[#This Row],[7.TRIM]])</f>
        <v>6</v>
      </c>
      <c r="E96" s="3" t="str">
        <f>TRIM(Table1[[#This Row],[1.upper case]])</f>
        <v>ADITYA</v>
      </c>
      <c r="F96" s="3" t="str">
        <f>UPPER(Table1[[#This Row],[Employee Name]])</f>
        <v>ADITYA</v>
      </c>
      <c r="G96" s="3" t="s">
        <v>68</v>
      </c>
      <c r="H96" s="3" t="str">
        <f>_xlfn.CONCAT(Table1[[#This Row],[7.TRIM]],"-",Table1[[#This Row],[DepaRtmenT]])</f>
        <v>ADITYA-Marketing</v>
      </c>
      <c r="I96" s="3" t="str">
        <f>PROPER(Table1[[#This Row],[DepaRtmenT]])</f>
        <v>Marketing</v>
      </c>
      <c r="J96" s="3" t="str">
        <f>IF(OR(Table1[[#This Row],[DepaRtmenT]]="HR",Table1[[#This Row],[DepaRtmenT]]="FINANCE"),"YES","NO")</f>
        <v>NO</v>
      </c>
      <c r="K96" s="3" t="s">
        <v>37</v>
      </c>
      <c r="L96" s="3" t="str">
        <f>LEFT(Table1[[#This Row],[Designation]],5)</f>
        <v>Devel</v>
      </c>
      <c r="M96" s="3" t="s">
        <v>20</v>
      </c>
      <c r="N96" s="3" t="s">
        <v>13</v>
      </c>
      <c r="O96" s="3" t="s">
        <v>14</v>
      </c>
      <c r="P96" s="3" t="str">
        <f>LEFT(Table1[[#This Row],[City]],3)</f>
        <v>Koc</v>
      </c>
      <c r="Q96" s="3">
        <f>MONTH(Table1[[#This Row],[2.DD-MMM-YYY]])</f>
        <v>5</v>
      </c>
      <c r="R96" s="3" t="str">
        <f>TEXT(Table1[[#This Row],[Joining Date]],"DD-MMM-YYYY")</f>
        <v>18-May-2023</v>
      </c>
      <c r="S96" s="3">
        <f ca="1">NETWORKDAYS(Table1[[#This Row],[Joining Date]],TODAY())</f>
        <v>886</v>
      </c>
      <c r="T96" s="3">
        <f>YEAR(Table1[[#This Row],[Joining Date]])</f>
        <v>2023</v>
      </c>
      <c r="U96" s="3" t="s">
        <v>234</v>
      </c>
      <c r="V96" s="3" t="str">
        <f>IF(Table1[[#This Row],[Experience (Years)]]&gt;5,"experience","fresher")</f>
        <v>experience</v>
      </c>
      <c r="W96" s="3">
        <v>7</v>
      </c>
      <c r="X96" s="3" t="str">
        <f>IF(Table1[[#This Row],[Experience (Years)]]&lt;=2,"JUNIOR",IF(Table1[[#This Row],[Experience (Years)]]&lt;=5,"MID LEVEL","SENIOR"))</f>
        <v>SENIOR</v>
      </c>
      <c r="Y96" s="3">
        <v>39000</v>
      </c>
      <c r="Z96" s="3" t="str">
        <f>IF(AND(Table1[[#This Row],[Experience (Years)]]&gt;5,Table1[[#This Row],[Status]]="ACTIVE"),"YES","NO")</f>
        <v>NO</v>
      </c>
      <c r="AA96" s="3" t="s">
        <v>24</v>
      </c>
    </row>
    <row r="97" spans="1:27" ht="18" x14ac:dyDescent="0.35">
      <c r="A97" t="str">
        <f>RIGHT(Table1[[#This Row],[Emp ID]],4)</f>
        <v>P096</v>
      </c>
      <c r="B97" s="3" t="s">
        <v>235</v>
      </c>
      <c r="C97" s="3">
        <f>FIND("A",Table1[[#This Row],[1.upper case]])</f>
        <v>1</v>
      </c>
      <c r="D97" s="3">
        <f>LEN(Table1[[#This Row],[7.TRIM]])</f>
        <v>4</v>
      </c>
      <c r="E97" s="3" t="str">
        <f>TRIM(Table1[[#This Row],[1.upper case]])</f>
        <v>ASHA</v>
      </c>
      <c r="F97" s="3" t="str">
        <f>UPPER(Table1[[#This Row],[Employee Name]])</f>
        <v>ASHA</v>
      </c>
      <c r="G97" s="3" t="s">
        <v>71</v>
      </c>
      <c r="H97" s="3" t="str">
        <f>_xlfn.CONCAT(Table1[[#This Row],[7.TRIM]],"-",Table1[[#This Row],[DepaRtmenT]])</f>
        <v>ASHA-Operations</v>
      </c>
      <c r="I97" s="3" t="str">
        <f>PROPER(Table1[[#This Row],[DepaRtmenT]])</f>
        <v>Operations</v>
      </c>
      <c r="J97" s="3" t="str">
        <f>IF(OR(Table1[[#This Row],[DepaRtmenT]]="HR",Table1[[#This Row],[DepaRtmenT]]="FINANCE"),"YES","NO")</f>
        <v>NO</v>
      </c>
      <c r="K97" s="3" t="s">
        <v>41</v>
      </c>
      <c r="L97" s="3" t="str">
        <f>LEFT(Table1[[#This Row],[Designation]],5)</f>
        <v>Assoc</v>
      </c>
      <c r="M97" s="3" t="s">
        <v>28</v>
      </c>
      <c r="N97" s="3" t="s">
        <v>21</v>
      </c>
      <c r="O97" s="3" t="s">
        <v>22</v>
      </c>
      <c r="P97" s="3" t="str">
        <f>LEFT(Table1[[#This Row],[City]],3)</f>
        <v>Tri</v>
      </c>
      <c r="Q97" s="3">
        <f>MONTH(Table1[[#This Row],[2.DD-MMM-YYY]])</f>
        <v>6</v>
      </c>
      <c r="R97" s="3" t="str">
        <f>TEXT(Table1[[#This Row],[Joining Date]],"DD-MMM-YYYY")</f>
        <v>04-Jun-2023</v>
      </c>
      <c r="S97" s="3">
        <f ca="1">NETWORKDAYS(Table1[[#This Row],[Joining Date]],TODAY())</f>
        <v>874</v>
      </c>
      <c r="T97" s="3">
        <f>YEAR(Table1[[#This Row],[Joining Date]])</f>
        <v>2023</v>
      </c>
      <c r="U97" s="3" t="s">
        <v>236</v>
      </c>
      <c r="V97" s="3" t="str">
        <f>IF(Table1[[#This Row],[Experience (Years)]]&gt;5,"experience","fresher")</f>
        <v>experience</v>
      </c>
      <c r="W97" s="3">
        <v>8</v>
      </c>
      <c r="X97" s="3" t="str">
        <f>IF(Table1[[#This Row],[Experience (Years)]]&lt;=2,"JUNIOR",IF(Table1[[#This Row],[Experience (Years)]]&lt;=5,"MID LEVEL","SENIOR"))</f>
        <v>SENIOR</v>
      </c>
      <c r="Y97" s="3">
        <v>42500</v>
      </c>
      <c r="Z97" s="3" t="str">
        <f>IF(AND(Table1[[#This Row],[Experience (Years)]]&gt;5,Table1[[#This Row],[Status]]="ACTIVE"),"YES","NO")</f>
        <v>NO</v>
      </c>
      <c r="AA97" s="3" t="s">
        <v>30</v>
      </c>
    </row>
    <row r="98" spans="1:27" ht="18" x14ac:dyDescent="0.35">
      <c r="A98" t="str">
        <f>RIGHT(Table1[[#This Row],[Emp ID]],4)</f>
        <v>P097</v>
      </c>
      <c r="B98" s="3" t="s">
        <v>237</v>
      </c>
      <c r="C98" s="3">
        <f>FIND("A",Table1[[#This Row],[1.upper case]])</f>
        <v>2</v>
      </c>
      <c r="D98" s="3">
        <f>LEN(Table1[[#This Row],[7.TRIM]])</f>
        <v>5</v>
      </c>
      <c r="E98" s="3" t="str">
        <f>TRIM(Table1[[#This Row],[1.upper case]])</f>
        <v>VARUN</v>
      </c>
      <c r="F98" s="3" t="str">
        <f>UPPER(Table1[[#This Row],[Employee Name]])</f>
        <v>VARUN</v>
      </c>
      <c r="G98" s="3" t="s">
        <v>74</v>
      </c>
      <c r="H98" s="3" t="str">
        <f>_xlfn.CONCAT(Table1[[#This Row],[7.TRIM]],"-",Table1[[#This Row],[DepaRtmenT]])</f>
        <v>VARUN-HR</v>
      </c>
      <c r="I98" s="3" t="str">
        <f>PROPER(Table1[[#This Row],[DepaRtmenT]])</f>
        <v>Hr</v>
      </c>
      <c r="J98" s="3" t="str">
        <f>IF(OR(Table1[[#This Row],[DepaRtmenT]]="HR",Table1[[#This Row],[DepaRtmenT]]="FINANCE"),"YES","NO")</f>
        <v>YES</v>
      </c>
      <c r="K98" s="3" t="s">
        <v>11</v>
      </c>
      <c r="L98" s="3" t="str">
        <f>LEFT(Table1[[#This Row],[Designation]],5)</f>
        <v>Execu</v>
      </c>
      <c r="M98" s="3" t="s">
        <v>12</v>
      </c>
      <c r="N98" s="3" t="s">
        <v>13</v>
      </c>
      <c r="O98" s="3" t="s">
        <v>14</v>
      </c>
      <c r="P98" s="3" t="str">
        <f>LEFT(Table1[[#This Row],[City]],3)</f>
        <v>Koc</v>
      </c>
      <c r="Q98" s="3">
        <f>MONTH(Table1[[#This Row],[2.DD-MMM-YYY]])</f>
        <v>6</v>
      </c>
      <c r="R98" s="3" t="str">
        <f>TEXT(Table1[[#This Row],[Joining Date]],"DD-MMM-YYYY")</f>
        <v>21-Jun-2023</v>
      </c>
      <c r="S98" s="3">
        <f ca="1">NETWORKDAYS(Table1[[#This Row],[Joining Date]],TODAY())</f>
        <v>862</v>
      </c>
      <c r="T98" s="3">
        <f>YEAR(Table1[[#This Row],[Joining Date]])</f>
        <v>2023</v>
      </c>
      <c r="U98" s="3" t="s">
        <v>238</v>
      </c>
      <c r="V98" s="3" t="str">
        <f>IF(Table1[[#This Row],[Experience (Years)]]&gt;5,"experience","fresher")</f>
        <v>fresher</v>
      </c>
      <c r="W98" s="3">
        <v>1</v>
      </c>
      <c r="X98" s="3" t="str">
        <f>IF(Table1[[#This Row],[Experience (Years)]]&lt;=2,"JUNIOR",IF(Table1[[#This Row],[Experience (Years)]]&lt;=5,"MID LEVEL","SENIOR"))</f>
        <v>JUNIOR</v>
      </c>
      <c r="Y98" s="3">
        <v>46000</v>
      </c>
      <c r="Z98" s="3" t="str">
        <f>IF(AND(Table1[[#This Row],[Experience (Years)]]&gt;5,Table1[[#This Row],[Status]]="ACTIVE"),"YES","NO")</f>
        <v>NO</v>
      </c>
      <c r="AA98" s="3" t="s">
        <v>16</v>
      </c>
    </row>
    <row r="99" spans="1:27" ht="18" x14ac:dyDescent="0.35">
      <c r="A99" t="str">
        <f>RIGHT(Table1[[#This Row],[Emp ID]],4)</f>
        <v>P098</v>
      </c>
      <c r="B99" s="3" t="s">
        <v>239</v>
      </c>
      <c r="C99" s="3">
        <f>FIND("A",Table1[[#This Row],[1.upper case]])</f>
        <v>7</v>
      </c>
      <c r="D99" s="3">
        <f>LEN(Table1[[#This Row],[7.TRIM]])</f>
        <v>9</v>
      </c>
      <c r="E99" s="3" t="str">
        <f>TRIM(Table1[[#This Row],[1.upper case]])</f>
        <v>KEERTHANA</v>
      </c>
      <c r="F99" s="3" t="str">
        <f>UPPER(Table1[[#This Row],[Employee Name]])</f>
        <v>KEERTHANA</v>
      </c>
      <c r="G99" s="3" t="s">
        <v>77</v>
      </c>
      <c r="H99" s="3" t="str">
        <f>_xlfn.CONCAT(Table1[[#This Row],[7.TRIM]],"-",Table1[[#This Row],[DepaRtmenT]])</f>
        <v>KEERTHANA-IT</v>
      </c>
      <c r="I99" s="3" t="str">
        <f>PROPER(Table1[[#This Row],[DepaRtmenT]])</f>
        <v>It</v>
      </c>
      <c r="J99" s="3" t="str">
        <f>IF(OR(Table1[[#This Row],[DepaRtmenT]]="HR",Table1[[#This Row],[DepaRtmenT]]="FINANCE"),"YES","NO")</f>
        <v>NO</v>
      </c>
      <c r="K99" s="3" t="s">
        <v>19</v>
      </c>
      <c r="L99" s="3" t="str">
        <f>LEFT(Table1[[#This Row],[Designation]],5)</f>
        <v>Devel</v>
      </c>
      <c r="M99" s="3" t="s">
        <v>20</v>
      </c>
      <c r="N99" s="3" t="s">
        <v>21</v>
      </c>
      <c r="O99" s="3" t="s">
        <v>22</v>
      </c>
      <c r="P99" s="3" t="str">
        <f>LEFT(Table1[[#This Row],[City]],3)</f>
        <v>Tri</v>
      </c>
      <c r="Q99" s="3">
        <f>MONTH(Table1[[#This Row],[2.DD-MMM-YYY]])</f>
        <v>7</v>
      </c>
      <c r="R99" s="3" t="str">
        <f>TEXT(Table1[[#This Row],[Joining Date]],"DD-MMM-YYYY")</f>
        <v>08-Jul-2023</v>
      </c>
      <c r="S99" s="3">
        <f ca="1">NETWORKDAYS(Table1[[#This Row],[Joining Date]],TODAY())</f>
        <v>849</v>
      </c>
      <c r="T99" s="3">
        <f>YEAR(Table1[[#This Row],[Joining Date]])</f>
        <v>2023</v>
      </c>
      <c r="U99" s="3" t="s">
        <v>240</v>
      </c>
      <c r="V99" s="3" t="str">
        <f>IF(Table1[[#This Row],[Experience (Years)]]&gt;5,"experience","fresher")</f>
        <v>fresher</v>
      </c>
      <c r="W99" s="3">
        <v>2</v>
      </c>
      <c r="X99" s="3" t="str">
        <f>IF(Table1[[#This Row],[Experience (Years)]]&lt;=2,"JUNIOR",IF(Table1[[#This Row],[Experience (Years)]]&lt;=5,"MID LEVEL","SENIOR"))</f>
        <v>JUNIOR</v>
      </c>
      <c r="Y99" s="3">
        <v>49500</v>
      </c>
      <c r="Z99" s="3" t="str">
        <f>IF(AND(Table1[[#This Row],[Experience (Years)]]&gt;5,Table1[[#This Row],[Status]]="ACTIVE"),"YES","NO")</f>
        <v>NO</v>
      </c>
      <c r="AA99" s="3" t="s">
        <v>24</v>
      </c>
    </row>
    <row r="100" spans="1:27" ht="18" x14ac:dyDescent="0.35">
      <c r="A100" t="str">
        <f>RIGHT(Table1[[#This Row],[Emp ID]],4)</f>
        <v>P099</v>
      </c>
      <c r="B100" s="3" t="s">
        <v>241</v>
      </c>
      <c r="C100" s="3" t="e">
        <f>FIND("A",Table1[[#This Row],[1.upper case]])</f>
        <v>#VALUE!</v>
      </c>
      <c r="D100" s="3">
        <f>LEN(Table1[[#This Row],[7.TRIM]])</f>
        <v>4</v>
      </c>
      <c r="E100" s="3" t="str">
        <f>TRIM(Table1[[#This Row],[1.upper case]])</f>
        <v>JOEL</v>
      </c>
      <c r="F100" s="3" t="str">
        <f>UPPER(Table1[[#This Row],[Employee Name]])</f>
        <v>JOEL</v>
      </c>
      <c r="G100" s="3" t="s">
        <v>80</v>
      </c>
      <c r="H100" s="3" t="str">
        <f>_xlfn.CONCAT(Table1[[#This Row],[7.TRIM]],"-",Table1[[#This Row],[DepaRtmenT]])</f>
        <v>JOEL-Finance</v>
      </c>
      <c r="I100" s="3" t="str">
        <f>PROPER(Table1[[#This Row],[DepaRtmenT]])</f>
        <v>Finance</v>
      </c>
      <c r="J100" s="3" t="str">
        <f>IF(OR(Table1[[#This Row],[DepaRtmenT]]="HR",Table1[[#This Row],[DepaRtmenT]]="FINANCE"),"YES","NO")</f>
        <v>YES</v>
      </c>
      <c r="K100" s="3" t="s">
        <v>27</v>
      </c>
      <c r="L100" s="3" t="str">
        <f>LEFT(Table1[[#This Row],[Designation]],5)</f>
        <v>Assoc</v>
      </c>
      <c r="M100" s="3" t="s">
        <v>28</v>
      </c>
      <c r="N100" s="3" t="s">
        <v>13</v>
      </c>
      <c r="O100" s="3" t="s">
        <v>14</v>
      </c>
      <c r="P100" s="3" t="str">
        <f>LEFT(Table1[[#This Row],[City]],3)</f>
        <v>Koc</v>
      </c>
      <c r="Q100" s="3">
        <f>MONTH(Table1[[#This Row],[2.DD-MMM-YYY]])</f>
        <v>7</v>
      </c>
      <c r="R100" s="3" t="str">
        <f>TEXT(Table1[[#This Row],[Joining Date]],"DD-MMM-YYYY")</f>
        <v>25-Jul-2023</v>
      </c>
      <c r="S100" s="3">
        <f ca="1">NETWORKDAYS(Table1[[#This Row],[Joining Date]],TODAY())</f>
        <v>838</v>
      </c>
      <c r="T100" s="3">
        <f>YEAR(Table1[[#This Row],[Joining Date]])</f>
        <v>2023</v>
      </c>
      <c r="U100" s="3" t="s">
        <v>242</v>
      </c>
      <c r="V100" s="3" t="str">
        <f>IF(Table1[[#This Row],[Experience (Years)]]&gt;5,"experience","fresher")</f>
        <v>fresher</v>
      </c>
      <c r="W100" s="3">
        <v>3</v>
      </c>
      <c r="X100" s="3" t="str">
        <f>IF(Table1[[#This Row],[Experience (Years)]]&lt;=2,"JUNIOR",IF(Table1[[#This Row],[Experience (Years)]]&lt;=5,"MID LEVEL","SENIOR"))</f>
        <v>MID LEVEL</v>
      </c>
      <c r="Y100" s="3">
        <v>53000</v>
      </c>
      <c r="Z100" s="3" t="str">
        <f>IF(AND(Table1[[#This Row],[Experience (Years)]]&gt;5,Table1[[#This Row],[Status]]="ACTIVE"),"YES","NO")</f>
        <v>NO</v>
      </c>
      <c r="AA100" s="3" t="s">
        <v>30</v>
      </c>
    </row>
    <row r="101" spans="1:27" ht="18" x14ac:dyDescent="0.35">
      <c r="A101" t="str">
        <f>RIGHT(Table1[[#This Row],[Emp ID]],4)</f>
        <v>P100</v>
      </c>
      <c r="B101" s="3" t="s">
        <v>243</v>
      </c>
      <c r="C101" s="3">
        <f>FIND("A",Table1[[#This Row],[1.upper case]])</f>
        <v>1</v>
      </c>
      <c r="D101" s="3">
        <f>LEN(Table1[[#This Row],[7.TRIM]])</f>
        <v>6</v>
      </c>
      <c r="E101" s="3" t="str">
        <f>TRIM(Table1[[#This Row],[1.upper case]])</f>
        <v>ATHIRA</v>
      </c>
      <c r="F101" s="3" t="str">
        <f>UPPER(Table1[[#This Row],[Employee Name]])</f>
        <v>ATHIRA</v>
      </c>
      <c r="G101" s="3" t="s">
        <v>83</v>
      </c>
      <c r="H101" s="3" t="str">
        <f>_xlfn.CONCAT(Table1[[#This Row],[7.TRIM]],"-",Table1[[#This Row],[DepaRtmenT]])</f>
        <v>ATHIRA-Sales</v>
      </c>
      <c r="I101" s="3" t="str">
        <f>PROPER(Table1[[#This Row],[DepaRtmenT]])</f>
        <v>Sales</v>
      </c>
      <c r="J101" s="3" t="str">
        <f>IF(OR(Table1[[#This Row],[DepaRtmenT]]="HR",Table1[[#This Row],[DepaRtmenT]]="FINANCE"),"YES","NO")</f>
        <v>NO</v>
      </c>
      <c r="K101" s="3" t="s">
        <v>33</v>
      </c>
      <c r="L101" s="3" t="str">
        <f>LEFT(Table1[[#This Row],[Designation]],5)</f>
        <v>Execu</v>
      </c>
      <c r="M101" s="3" t="s">
        <v>12</v>
      </c>
      <c r="N101" s="3" t="s">
        <v>21</v>
      </c>
      <c r="O101" s="3" t="s">
        <v>22</v>
      </c>
      <c r="P101" s="3" t="str">
        <f>LEFT(Table1[[#This Row],[City]],3)</f>
        <v>Tri</v>
      </c>
      <c r="Q101" s="3">
        <f>MONTH(Table1[[#This Row],[2.DD-MMM-YYY]])</f>
        <v>8</v>
      </c>
      <c r="R101" s="3" t="str">
        <f>TEXT(Table1[[#This Row],[Joining Date]],"DD-MMM-YYYY")</f>
        <v>11-Aug-2023</v>
      </c>
      <c r="S101" s="3">
        <f ca="1">NETWORKDAYS(Table1[[#This Row],[Joining Date]],TODAY())</f>
        <v>825</v>
      </c>
      <c r="T101" s="3">
        <f>YEAR(Table1[[#This Row],[Joining Date]])</f>
        <v>2023</v>
      </c>
      <c r="U101" s="3" t="s">
        <v>244</v>
      </c>
      <c r="V101" s="3" t="str">
        <f>IF(Table1[[#This Row],[Experience (Years)]]&gt;5,"experience","fresher")</f>
        <v>fresher</v>
      </c>
      <c r="W101" s="3">
        <v>4</v>
      </c>
      <c r="X101" s="3" t="str">
        <f>IF(Table1[[#This Row],[Experience (Years)]]&lt;=2,"JUNIOR",IF(Table1[[#This Row],[Experience (Years)]]&lt;=5,"MID LEVEL","SENIOR"))</f>
        <v>MID LEVEL</v>
      </c>
      <c r="Y101" s="3">
        <v>56500</v>
      </c>
      <c r="Z101" s="3" t="str">
        <f>IF(AND(Table1[[#This Row],[Experience (Years)]]&gt;5,Table1[[#This Row],[Status]]="ACTIVE"),"YES","NO")</f>
        <v>NO</v>
      </c>
      <c r="AA101" s="3" t="s">
        <v>16</v>
      </c>
    </row>
  </sheetData>
  <mergeCells count="52">
    <mergeCell ref="AP24:AS24"/>
    <mergeCell ref="AP25:AS25"/>
    <mergeCell ref="AP26:AS26"/>
    <mergeCell ref="AE2:AF2"/>
    <mergeCell ref="AF4:AO4"/>
    <mergeCell ref="AF5:AO5"/>
    <mergeCell ref="AF6:AO6"/>
    <mergeCell ref="AF7:AO7"/>
    <mergeCell ref="AP6:AS6"/>
    <mergeCell ref="AP7:AS7"/>
    <mergeCell ref="AP8:AS8"/>
    <mergeCell ref="AP9:AS9"/>
    <mergeCell ref="AP10:AS10"/>
    <mergeCell ref="AP28:AS28"/>
    <mergeCell ref="AP2:AQ2"/>
    <mergeCell ref="AP18:AS18"/>
    <mergeCell ref="AP19:AS19"/>
    <mergeCell ref="AP20:AS20"/>
    <mergeCell ref="AP21:AS21"/>
    <mergeCell ref="AP22:AS22"/>
    <mergeCell ref="AP23:AS23"/>
    <mergeCell ref="AP12:AS12"/>
    <mergeCell ref="AP13:AS13"/>
    <mergeCell ref="AP14:AS14"/>
    <mergeCell ref="AP15:AS15"/>
    <mergeCell ref="AP16:AS16"/>
    <mergeCell ref="AP17:AS17"/>
    <mergeCell ref="AP4:AS4"/>
    <mergeCell ref="AP5:AS5"/>
    <mergeCell ref="AP27:AS27"/>
    <mergeCell ref="AF8:AO8"/>
    <mergeCell ref="AF9:AO9"/>
    <mergeCell ref="AF10:AO10"/>
    <mergeCell ref="AF11:AO11"/>
    <mergeCell ref="AF12:AO12"/>
    <mergeCell ref="AF27:AO27"/>
    <mergeCell ref="AP11:AS11"/>
    <mergeCell ref="AF25:AO25"/>
    <mergeCell ref="AF26:AO26"/>
    <mergeCell ref="AF15:AO15"/>
    <mergeCell ref="AF16:AO16"/>
    <mergeCell ref="AF17:AO17"/>
    <mergeCell ref="AF18:AO18"/>
    <mergeCell ref="AF14:AO14"/>
    <mergeCell ref="AF13:AO13"/>
    <mergeCell ref="AF28:AO28"/>
    <mergeCell ref="AF19:AO19"/>
    <mergeCell ref="AF20:AO20"/>
    <mergeCell ref="AF21:AO21"/>
    <mergeCell ref="AF22:AO22"/>
    <mergeCell ref="AF23:AO23"/>
    <mergeCell ref="AF24:AO24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fathima femina</cp:lastModifiedBy>
  <dcterms:created xsi:type="dcterms:W3CDTF">2026-07-11T14:50:09Z</dcterms:created>
  <dcterms:modified xsi:type="dcterms:W3CDTF">2026-10-07T21:30:17Z</dcterms:modified>
</cp:coreProperties>
</file>