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93F45D2-E1B4-4DCA-90E9-685D8F65BEA6}" xr6:coauthVersionLast="47" xr6:coauthVersionMax="47" xr10:uidLastSave="{00000000-0000-0000-0000-000000000000}"/>
  <bookViews>
    <workbookView xWindow="-120" yWindow="-120" windowWidth="20730" windowHeight="11160" xr2:uid="{3C636303-4921-4F21-B8CE-CC0A455B97E2}"/>
  </bookViews>
  <sheets>
    <sheet name="DATA" sheetId="1" r:id="rId1"/>
    <sheet name="DASH BOARD" sheetId="2" r:id="rId2"/>
  </sheets>
  <definedNames>
    <definedName name="ExternalData_1" localSheetId="0" hidden="1">DATA!$A$1:$P$101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S17" i="1"/>
  <c r="S16" i="1"/>
  <c r="N101" i="1"/>
  <c r="K101" i="1"/>
  <c r="L101" i="1" s="1"/>
  <c r="N100" i="1"/>
  <c r="K100" i="1"/>
  <c r="L100" i="1" s="1"/>
  <c r="N99" i="1"/>
  <c r="K99" i="1"/>
  <c r="L99" i="1" s="1"/>
  <c r="N98" i="1"/>
  <c r="K98" i="1"/>
  <c r="L98" i="1" s="1"/>
  <c r="N97" i="1"/>
  <c r="K97" i="1"/>
  <c r="L97" i="1" s="1"/>
  <c r="N96" i="1"/>
  <c r="K96" i="1"/>
  <c r="L96" i="1" s="1"/>
  <c r="N95" i="1"/>
  <c r="K95" i="1"/>
  <c r="L95" i="1" s="1"/>
  <c r="N94" i="1"/>
  <c r="K94" i="1"/>
  <c r="L94" i="1" s="1"/>
  <c r="N93" i="1"/>
  <c r="K93" i="1"/>
  <c r="L93" i="1" s="1"/>
  <c r="N92" i="1"/>
  <c r="K92" i="1"/>
  <c r="L92" i="1" s="1"/>
  <c r="N91" i="1"/>
  <c r="K91" i="1"/>
  <c r="L91" i="1" s="1"/>
  <c r="N90" i="1"/>
  <c r="K90" i="1"/>
  <c r="L90" i="1" s="1"/>
  <c r="N89" i="1"/>
  <c r="K89" i="1"/>
  <c r="L89" i="1" s="1"/>
  <c r="N88" i="1"/>
  <c r="K88" i="1"/>
  <c r="L88" i="1" s="1"/>
  <c r="N87" i="1"/>
  <c r="K87" i="1"/>
  <c r="L87" i="1" s="1"/>
  <c r="N86" i="1"/>
  <c r="K86" i="1"/>
  <c r="L86" i="1" s="1"/>
  <c r="N85" i="1"/>
  <c r="K85" i="1"/>
  <c r="L85" i="1" s="1"/>
  <c r="N84" i="1"/>
  <c r="K84" i="1"/>
  <c r="L84" i="1" s="1"/>
  <c r="N83" i="1"/>
  <c r="K83" i="1"/>
  <c r="L83" i="1" s="1"/>
  <c r="N82" i="1"/>
  <c r="K82" i="1"/>
  <c r="L82" i="1" s="1"/>
  <c r="N81" i="1"/>
  <c r="K81" i="1"/>
  <c r="L81" i="1" s="1"/>
  <c r="N80" i="1"/>
  <c r="K80" i="1"/>
  <c r="L80" i="1" s="1"/>
  <c r="N79" i="1"/>
  <c r="K79" i="1"/>
  <c r="L79" i="1" s="1"/>
  <c r="N78" i="1"/>
  <c r="K78" i="1"/>
  <c r="L78" i="1" s="1"/>
  <c r="N77" i="1"/>
  <c r="K77" i="1"/>
  <c r="L77" i="1" s="1"/>
  <c r="N76" i="1"/>
  <c r="K76" i="1"/>
  <c r="L76" i="1" s="1"/>
  <c r="N75" i="1"/>
  <c r="K75" i="1"/>
  <c r="L75" i="1" s="1"/>
  <c r="N74" i="1"/>
  <c r="K74" i="1"/>
  <c r="L74" i="1" s="1"/>
  <c r="N73" i="1"/>
  <c r="K73" i="1"/>
  <c r="L73" i="1" s="1"/>
  <c r="N72" i="1"/>
  <c r="K72" i="1"/>
  <c r="L72" i="1" s="1"/>
  <c r="N71" i="1"/>
  <c r="K71" i="1"/>
  <c r="L71" i="1" s="1"/>
  <c r="N70" i="1"/>
  <c r="K70" i="1"/>
  <c r="L70" i="1" s="1"/>
  <c r="N69" i="1"/>
  <c r="K69" i="1"/>
  <c r="L69" i="1" s="1"/>
  <c r="N68" i="1"/>
  <c r="K68" i="1"/>
  <c r="L68" i="1" s="1"/>
  <c r="N67" i="1"/>
  <c r="K67" i="1"/>
  <c r="L67" i="1" s="1"/>
  <c r="N66" i="1"/>
  <c r="K66" i="1"/>
  <c r="L66" i="1" s="1"/>
  <c r="N65" i="1"/>
  <c r="K65" i="1"/>
  <c r="L65" i="1" s="1"/>
  <c r="N64" i="1"/>
  <c r="K64" i="1"/>
  <c r="L64" i="1" s="1"/>
  <c r="N63" i="1"/>
  <c r="K63" i="1"/>
  <c r="L63" i="1" s="1"/>
  <c r="N62" i="1"/>
  <c r="K62" i="1"/>
  <c r="L62" i="1" s="1"/>
  <c r="N61" i="1"/>
  <c r="K61" i="1"/>
  <c r="L61" i="1" s="1"/>
  <c r="N60" i="1"/>
  <c r="K60" i="1"/>
  <c r="L60" i="1" s="1"/>
  <c r="N59" i="1"/>
  <c r="K59" i="1"/>
  <c r="L59" i="1" s="1"/>
  <c r="N58" i="1"/>
  <c r="K58" i="1"/>
  <c r="L58" i="1" s="1"/>
  <c r="N57" i="1"/>
  <c r="K57" i="1"/>
  <c r="L57" i="1" s="1"/>
  <c r="N56" i="1"/>
  <c r="K56" i="1"/>
  <c r="L56" i="1" s="1"/>
  <c r="N55" i="1"/>
  <c r="K55" i="1"/>
  <c r="L55" i="1" s="1"/>
  <c r="N54" i="1"/>
  <c r="K54" i="1"/>
  <c r="L54" i="1" s="1"/>
  <c r="N53" i="1"/>
  <c r="K53" i="1"/>
  <c r="L53" i="1" s="1"/>
  <c r="N52" i="1"/>
  <c r="K52" i="1"/>
  <c r="L52" i="1" s="1"/>
  <c r="N51" i="1"/>
  <c r="K51" i="1"/>
  <c r="L51" i="1" s="1"/>
  <c r="N50" i="1"/>
  <c r="K50" i="1"/>
  <c r="L50" i="1" s="1"/>
  <c r="N49" i="1"/>
  <c r="K49" i="1"/>
  <c r="L49" i="1" s="1"/>
  <c r="N48" i="1"/>
  <c r="K48" i="1"/>
  <c r="L48" i="1" s="1"/>
  <c r="N47" i="1"/>
  <c r="K47" i="1"/>
  <c r="L47" i="1" s="1"/>
  <c r="N46" i="1"/>
  <c r="K46" i="1"/>
  <c r="L46" i="1" s="1"/>
  <c r="N45" i="1"/>
  <c r="K45" i="1"/>
  <c r="L45" i="1" s="1"/>
  <c r="N44" i="1"/>
  <c r="K44" i="1"/>
  <c r="L44" i="1" s="1"/>
  <c r="N43" i="1"/>
  <c r="K43" i="1"/>
  <c r="L43" i="1" s="1"/>
  <c r="N42" i="1"/>
  <c r="K42" i="1"/>
  <c r="L42" i="1" s="1"/>
  <c r="N41" i="1"/>
  <c r="K41" i="1"/>
  <c r="L41" i="1" s="1"/>
  <c r="N40" i="1"/>
  <c r="K40" i="1"/>
  <c r="L40" i="1" s="1"/>
  <c r="N39" i="1"/>
  <c r="K39" i="1"/>
  <c r="L39" i="1" s="1"/>
  <c r="N38" i="1"/>
  <c r="K38" i="1"/>
  <c r="L38" i="1" s="1"/>
  <c r="N37" i="1"/>
  <c r="K37" i="1"/>
  <c r="L37" i="1" s="1"/>
  <c r="N36" i="1"/>
  <c r="K36" i="1"/>
  <c r="L36" i="1" s="1"/>
  <c r="N35" i="1"/>
  <c r="K35" i="1"/>
  <c r="L35" i="1" s="1"/>
  <c r="N34" i="1"/>
  <c r="K34" i="1"/>
  <c r="L34" i="1" s="1"/>
  <c r="N33" i="1"/>
  <c r="K33" i="1"/>
  <c r="L33" i="1" s="1"/>
  <c r="N32" i="1"/>
  <c r="K32" i="1"/>
  <c r="L32" i="1" s="1"/>
  <c r="N31" i="1"/>
  <c r="K31" i="1"/>
  <c r="L31" i="1" s="1"/>
  <c r="N30" i="1"/>
  <c r="K30" i="1"/>
  <c r="L30" i="1" s="1"/>
  <c r="N29" i="1"/>
  <c r="K29" i="1"/>
  <c r="L29" i="1" s="1"/>
  <c r="N28" i="1"/>
  <c r="K28" i="1"/>
  <c r="L28" i="1" s="1"/>
  <c r="N27" i="1"/>
  <c r="K27" i="1"/>
  <c r="L27" i="1" s="1"/>
  <c r="N26" i="1"/>
  <c r="K26" i="1"/>
  <c r="L26" i="1" s="1"/>
  <c r="N25" i="1"/>
  <c r="K25" i="1"/>
  <c r="L25" i="1" s="1"/>
  <c r="N24" i="1"/>
  <c r="N23" i="1"/>
  <c r="K23" i="1"/>
  <c r="L23" i="1" s="1"/>
  <c r="N22" i="1"/>
  <c r="K22" i="1"/>
  <c r="L22" i="1" s="1"/>
  <c r="N21" i="1"/>
  <c r="K21" i="1"/>
  <c r="L21" i="1" s="1"/>
  <c r="N20" i="1"/>
  <c r="K20" i="1"/>
  <c r="L20" i="1" s="1"/>
  <c r="N19" i="1"/>
  <c r="K19" i="1"/>
  <c r="L19" i="1" s="1"/>
  <c r="N18" i="1"/>
  <c r="K18" i="1"/>
  <c r="L18" i="1" s="1"/>
  <c r="N17" i="1"/>
  <c r="K17" i="1"/>
  <c r="L17" i="1" s="1"/>
  <c r="N16" i="1"/>
  <c r="K16" i="1"/>
  <c r="L16" i="1" s="1"/>
  <c r="N15" i="1"/>
  <c r="K15" i="1"/>
  <c r="L15" i="1" s="1"/>
  <c r="N14" i="1"/>
  <c r="K14" i="1"/>
  <c r="L14" i="1" s="1"/>
  <c r="N13" i="1"/>
  <c r="K13" i="1"/>
  <c r="L13" i="1" s="1"/>
  <c r="N12" i="1"/>
  <c r="K12" i="1"/>
  <c r="L12" i="1" s="1"/>
  <c r="N11" i="1"/>
  <c r="K11" i="1"/>
  <c r="L11" i="1" s="1"/>
  <c r="N10" i="1"/>
  <c r="K10" i="1"/>
  <c r="L10" i="1" s="1"/>
  <c r="N9" i="1"/>
  <c r="K9" i="1"/>
  <c r="L9" i="1" s="1"/>
  <c r="N8" i="1"/>
  <c r="K8" i="1"/>
  <c r="L8" i="1" s="1"/>
  <c r="N7" i="1"/>
  <c r="K7" i="1"/>
  <c r="L7" i="1" s="1"/>
  <c r="N6" i="1"/>
  <c r="K6" i="1"/>
  <c r="L6" i="1" s="1"/>
  <c r="N5" i="1"/>
  <c r="K5" i="1"/>
  <c r="L5" i="1" s="1"/>
  <c r="N4" i="1"/>
  <c r="K4" i="1"/>
  <c r="L4" i="1" s="1"/>
  <c r="N3" i="1"/>
  <c r="K3" i="1"/>
  <c r="L3" i="1" s="1"/>
  <c r="N2" i="1"/>
  <c r="K2" i="1"/>
  <c r="L2" i="1" s="1"/>
  <c r="K24" i="1" l="1"/>
  <c r="L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69442C-900E-4363-BB6E-C94B0942B20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<sst xmlns="http://schemas.openxmlformats.org/spreadsheetml/2006/main" count="970" uniqueCount="262">
  <si>
    <t>Order ID</t>
  </si>
  <si>
    <t>Order Date</t>
  </si>
  <si>
    <t>Customer Name</t>
  </si>
  <si>
    <t>City</t>
  </si>
  <si>
    <t>Department</t>
  </si>
  <si>
    <t>Product</t>
  </si>
  <si>
    <t>Salesperson</t>
  </si>
  <si>
    <t>Quantity</t>
  </si>
  <si>
    <t>Unit Price</t>
  </si>
  <si>
    <t>Discount %</t>
  </si>
  <si>
    <t>Discount Amount</t>
  </si>
  <si>
    <t>After Discount Amount</t>
  </si>
  <si>
    <t xml:space="preserve">Status </t>
  </si>
  <si>
    <t>TOTAL SALES</t>
  </si>
  <si>
    <t>Payment Method</t>
  </si>
  <si>
    <t>Remarks</t>
  </si>
  <si>
    <t>1002</t>
  </si>
  <si>
    <t>CUSTOMER 1</t>
  </si>
  <si>
    <t>KANNUR</t>
  </si>
  <si>
    <t>OFFICE SUPPLIES</t>
  </si>
  <si>
    <t>NOTEBOOK</t>
  </si>
  <si>
    <t>AISHA</t>
  </si>
  <si>
    <t>PENDING</t>
  </si>
  <si>
    <t>UPI</t>
  </si>
  <si>
    <t>REPEATCUSTOMER</t>
  </si>
  <si>
    <t>1003</t>
  </si>
  <si>
    <t>CUSTOMER 2</t>
  </si>
  <si>
    <t>NO REMARKS</t>
  </si>
  <si>
    <t>1004</t>
  </si>
  <si>
    <t>CUSTOMER 3</t>
  </si>
  <si>
    <t>CALICUT</t>
  </si>
  <si>
    <t>FURNITURE</t>
  </si>
  <si>
    <t>CHAIR</t>
  </si>
  <si>
    <t>NEHA</t>
  </si>
  <si>
    <t>COMPLETED</t>
  </si>
  <si>
    <t>CARD</t>
  </si>
  <si>
    <t>1005</t>
  </si>
  <si>
    <t>CUSTOMER 4</t>
  </si>
  <si>
    <t>THRISSUR</t>
  </si>
  <si>
    <t>DESK</t>
  </si>
  <si>
    <t>CASH</t>
  </si>
  <si>
    <t>1006</t>
  </si>
  <si>
    <t>CUSTOMER 5</t>
  </si>
  <si>
    <t>TRIVANDRUM</t>
  </si>
  <si>
    <t>ELECTRONICS</t>
  </si>
  <si>
    <t>KEYBOARD</t>
  </si>
  <si>
    <t>1007</t>
  </si>
  <si>
    <t>CUSTOMER 6</t>
  </si>
  <si>
    <t>MOUSE</t>
  </si>
  <si>
    <t>ARUN</t>
  </si>
  <si>
    <t>URGENT</t>
  </si>
  <si>
    <t>1008</t>
  </si>
  <si>
    <t>CUSTOMER 7</t>
  </si>
  <si>
    <t>KOCHI</t>
  </si>
  <si>
    <t>1009</t>
  </si>
  <si>
    <t>CUSTOMER 8</t>
  </si>
  <si>
    <t>PEN SET</t>
  </si>
  <si>
    <t>RAHUL</t>
  </si>
  <si>
    <t>1010</t>
  </si>
  <si>
    <t>CUSTOMER 9</t>
  </si>
  <si>
    <t>NEWLEAD</t>
  </si>
  <si>
    <t>1011</t>
  </si>
  <si>
    <t>CUSTOMER 10</t>
  </si>
  <si>
    <t>1012</t>
  </si>
  <si>
    <t>CUSTOMER 11</t>
  </si>
  <si>
    <t>1013</t>
  </si>
  <si>
    <t>CUSTOMER 12</t>
  </si>
  <si>
    <t>1014</t>
  </si>
  <si>
    <t>CUSTOMER 13</t>
  </si>
  <si>
    <t>1015</t>
  </si>
  <si>
    <t>CUSTOMER 14</t>
  </si>
  <si>
    <t>LAPTOP</t>
  </si>
  <si>
    <t>1016</t>
  </si>
  <si>
    <t>CUSTOMER 15</t>
  </si>
  <si>
    <t>1017</t>
  </si>
  <si>
    <t>CUSTOMER 16</t>
  </si>
  <si>
    <t>1018</t>
  </si>
  <si>
    <t>CUSTOMER 17</t>
  </si>
  <si>
    <t>1019</t>
  </si>
  <si>
    <t>CUSTOMER 18</t>
  </si>
  <si>
    <t>1020</t>
  </si>
  <si>
    <t>CUSTOMER 19</t>
  </si>
  <si>
    <t>1021</t>
  </si>
  <si>
    <t>CUSTOMER 20</t>
  </si>
  <si>
    <t>1022</t>
  </si>
  <si>
    <t>CUSTOMER 21</t>
  </si>
  <si>
    <t>1023</t>
  </si>
  <si>
    <t>CUSTOMER 22</t>
  </si>
  <si>
    <t>1024</t>
  </si>
  <si>
    <t>CUSTOMER 23</t>
  </si>
  <si>
    <t>1025</t>
  </si>
  <si>
    <t>CUSTOMER 24</t>
  </si>
  <si>
    <t>1026</t>
  </si>
  <si>
    <t>CUSTOMER 25</t>
  </si>
  <si>
    <t>1027</t>
  </si>
  <si>
    <t>CUSTOMER 26</t>
  </si>
  <si>
    <t>1028</t>
  </si>
  <si>
    <t>CUSTOMER 27</t>
  </si>
  <si>
    <t>1029</t>
  </si>
  <si>
    <t>CUSTOMER 28</t>
  </si>
  <si>
    <t>1030</t>
  </si>
  <si>
    <t>CUSTOMER 29</t>
  </si>
  <si>
    <t>1031</t>
  </si>
  <si>
    <t>CUSTOMER 30</t>
  </si>
  <si>
    <t>1032</t>
  </si>
  <si>
    <t>CUSTOMER 31</t>
  </si>
  <si>
    <t>1033</t>
  </si>
  <si>
    <t>CUSTOMER 32</t>
  </si>
  <si>
    <t>1034</t>
  </si>
  <si>
    <t>CUSTOMER 33</t>
  </si>
  <si>
    <t>1035</t>
  </si>
  <si>
    <t>CUSTOMER 34</t>
  </si>
  <si>
    <t>1036</t>
  </si>
  <si>
    <t>CUSTOMER 35</t>
  </si>
  <si>
    <t>1037</t>
  </si>
  <si>
    <t>CUSTOMER 36</t>
  </si>
  <si>
    <t>1038</t>
  </si>
  <si>
    <t>CUSTOMER 37</t>
  </si>
  <si>
    <t>1039</t>
  </si>
  <si>
    <t>CUSTOMER 38</t>
  </si>
  <si>
    <t>1040</t>
  </si>
  <si>
    <t>CUSTOMER 39</t>
  </si>
  <si>
    <t>1041</t>
  </si>
  <si>
    <t>CUSTOMER 40</t>
  </si>
  <si>
    <t>1042</t>
  </si>
  <si>
    <t>CUSTOMER 41</t>
  </si>
  <si>
    <t>1043</t>
  </si>
  <si>
    <t>CUSTOMER 42</t>
  </si>
  <si>
    <t>1044</t>
  </si>
  <si>
    <t>CUSTOMER 43</t>
  </si>
  <si>
    <t>1045</t>
  </si>
  <si>
    <t>CUSTOMER 44</t>
  </si>
  <si>
    <t>1046</t>
  </si>
  <si>
    <t>CUSTOMER 45</t>
  </si>
  <si>
    <t>1047</t>
  </si>
  <si>
    <t>CUSTOMER 46</t>
  </si>
  <si>
    <t>1048</t>
  </si>
  <si>
    <t>CUSTOMER 47</t>
  </si>
  <si>
    <t>1049</t>
  </si>
  <si>
    <t>CUSTOMER 48</t>
  </si>
  <si>
    <t>1050</t>
  </si>
  <si>
    <t>CUSTOMER 49</t>
  </si>
  <si>
    <t>1051</t>
  </si>
  <si>
    <t>CUSTOMER 50</t>
  </si>
  <si>
    <t>1052</t>
  </si>
  <si>
    <t>CUSTOMER 51</t>
  </si>
  <si>
    <t>1053</t>
  </si>
  <si>
    <t>CUSTOMER 52</t>
  </si>
  <si>
    <t>1054</t>
  </si>
  <si>
    <t>CUSTOMER 53</t>
  </si>
  <si>
    <t>1055</t>
  </si>
  <si>
    <t>CUSTOMER 54</t>
  </si>
  <si>
    <t>1056</t>
  </si>
  <si>
    <t>CUSTOMER 55</t>
  </si>
  <si>
    <t>1057</t>
  </si>
  <si>
    <t>CUSTOMER 56</t>
  </si>
  <si>
    <t>1058</t>
  </si>
  <si>
    <t>CUSTOMER 57</t>
  </si>
  <si>
    <t>1059</t>
  </si>
  <si>
    <t>CUSTOMER 58</t>
  </si>
  <si>
    <t>1060</t>
  </si>
  <si>
    <t>CUSTOMER 59</t>
  </si>
  <si>
    <t>1061</t>
  </si>
  <si>
    <t>CUSTOMER 60</t>
  </si>
  <si>
    <t>1062</t>
  </si>
  <si>
    <t>CUSTOMER 61</t>
  </si>
  <si>
    <t>1063</t>
  </si>
  <si>
    <t>CUSTOMER 62</t>
  </si>
  <si>
    <t>1064</t>
  </si>
  <si>
    <t>CUSTOMER 63</t>
  </si>
  <si>
    <t>1065</t>
  </si>
  <si>
    <t>CUSTOMER 64</t>
  </si>
  <si>
    <t>1066</t>
  </si>
  <si>
    <t>CUSTOMER 65</t>
  </si>
  <si>
    <t>1067</t>
  </si>
  <si>
    <t>CUSTOMER 66</t>
  </si>
  <si>
    <t>1068</t>
  </si>
  <si>
    <t>CUSTOMER 67</t>
  </si>
  <si>
    <t>1069</t>
  </si>
  <si>
    <t>CUSTOMER 68</t>
  </si>
  <si>
    <t>1070</t>
  </si>
  <si>
    <t>CUSTOMER 69</t>
  </si>
  <si>
    <t>1071</t>
  </si>
  <si>
    <t>CUSTOMER 70</t>
  </si>
  <si>
    <t>1072</t>
  </si>
  <si>
    <t>CUSTOMER 71</t>
  </si>
  <si>
    <t>1073</t>
  </si>
  <si>
    <t>CUSTOMER 72</t>
  </si>
  <si>
    <t>1074</t>
  </si>
  <si>
    <t>CUSTOMER 73</t>
  </si>
  <si>
    <t>1075</t>
  </si>
  <si>
    <t>CUSTOMER 74</t>
  </si>
  <si>
    <t>1076</t>
  </si>
  <si>
    <t>CUSTOMER 75</t>
  </si>
  <si>
    <t>1077</t>
  </si>
  <si>
    <t>CUSTOMER 76</t>
  </si>
  <si>
    <t>1078</t>
  </si>
  <si>
    <t>CUSTOMER 77</t>
  </si>
  <si>
    <t>1079</t>
  </si>
  <si>
    <t>CUSTOMER 78</t>
  </si>
  <si>
    <t>1080</t>
  </si>
  <si>
    <t>CUSTOMER 79</t>
  </si>
  <si>
    <t>1081</t>
  </si>
  <si>
    <t>CUSTOMER 80</t>
  </si>
  <si>
    <t>1082</t>
  </si>
  <si>
    <t>CUSTOMER 81</t>
  </si>
  <si>
    <t>1083</t>
  </si>
  <si>
    <t>CUSTOMER 82</t>
  </si>
  <si>
    <t>1084</t>
  </si>
  <si>
    <t>CUSTOMER 83</t>
  </si>
  <si>
    <t>1085</t>
  </si>
  <si>
    <t>CUSTOMER 84</t>
  </si>
  <si>
    <t>1086</t>
  </si>
  <si>
    <t>CUSTOMER 85</t>
  </si>
  <si>
    <t>1087</t>
  </si>
  <si>
    <t>CUSTOMER 86</t>
  </si>
  <si>
    <t>1088</t>
  </si>
  <si>
    <t>CUSTOMER 87</t>
  </si>
  <si>
    <t>1089</t>
  </si>
  <si>
    <t>CUSTOMER 88</t>
  </si>
  <si>
    <t>1090</t>
  </si>
  <si>
    <t>CUSTOMER 89</t>
  </si>
  <si>
    <t>1091</t>
  </si>
  <si>
    <t>CUSTOMER 90</t>
  </si>
  <si>
    <t>1092</t>
  </si>
  <si>
    <t>CUSTOMER 91</t>
  </si>
  <si>
    <t>1093</t>
  </si>
  <si>
    <t>CUSTOMER 92</t>
  </si>
  <si>
    <t>1094</t>
  </si>
  <si>
    <t>CUSTOMER 93</t>
  </si>
  <si>
    <t>1095</t>
  </si>
  <si>
    <t>CUSTOMER 94</t>
  </si>
  <si>
    <t>1096</t>
  </si>
  <si>
    <t>CUSTOMER 95</t>
  </si>
  <si>
    <t>1097</t>
  </si>
  <si>
    <t>CUSTOMER 96</t>
  </si>
  <si>
    <t>1098</t>
  </si>
  <si>
    <t>CUSTOMER 97</t>
  </si>
  <si>
    <t>1099</t>
  </si>
  <si>
    <t>CUSTOMER 98</t>
  </si>
  <si>
    <t>1100</t>
  </si>
  <si>
    <t>CUSTOMER 99</t>
  </si>
  <si>
    <t>1101</t>
  </si>
  <si>
    <t>CUSTOMER 100</t>
  </si>
  <si>
    <t>CREATED CLOUMN</t>
  </si>
  <si>
    <t>Total Sales</t>
  </si>
  <si>
    <t>KPS</t>
  </si>
  <si>
    <t>Column1</t>
  </si>
  <si>
    <t>Which Payment Method People Use Most</t>
  </si>
  <si>
    <t>Wich City Has Lowest Pen Set Sales</t>
  </si>
  <si>
    <t>Total sales</t>
  </si>
  <si>
    <t>Total orders</t>
  </si>
  <si>
    <t>Row Labels</t>
  </si>
  <si>
    <t>Grand Total</t>
  </si>
  <si>
    <t>Column Labels</t>
  </si>
  <si>
    <t>Sum of TOTAL SALES</t>
  </si>
  <si>
    <t>Sum of After Discount Amount</t>
  </si>
  <si>
    <t>City which has lowest sales amount</t>
  </si>
  <si>
    <t>Product which has highest sales amount</t>
  </si>
  <si>
    <t>Count of Product</t>
  </si>
  <si>
    <t>AVERAGE SALES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</si>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</sst>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22"/>
      <color theme="5" tint="-0.499984740745262"/>
      <name val="Aptos Narrow"/>
      <family val="2"/>
      <scheme val="minor"/>
    </font>
    <font>
      <sz val="22"/>
      <color theme="5" tint="-0.249977111117893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595900"/>
      <color rgb="FF6F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DATA!$W$4:$W$5</c:f>
              <c:strCache>
                <c:ptCount val="1"/>
                <c:pt idx="0">
                  <c:v>CALICUT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DATA!$W$6:$W$9</c:f>
              <c:numCache>
                <c:formatCode>General</c:formatCode>
                <c:ptCount val="3"/>
                <c:pt idx="0">
                  <c:v>136949</c:v>
                </c:pt>
                <c:pt idx="1">
                  <c:v>89363</c:v>
                </c:pt>
                <c:pt idx="2">
                  <c:v>85883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4-4BBD-A1A9-94ED63554F1E}"/>
            </c:ext>
          </c:extLst>
        </c:ser>
        <c:ser>
          <c:idx val="1"/>
          <c:order val="1"/>
          <c:tx>
            <c:strRef>
              <c:f>DATA!$X$4:$X$5</c:f>
              <c:strCache>
                <c:ptCount val="1"/>
                <c:pt idx="0">
                  <c:v>KANNUR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DATA!$X$6:$X$9</c:f>
              <c:numCache>
                <c:formatCode>General</c:formatCode>
                <c:ptCount val="3"/>
                <c:pt idx="0">
                  <c:v>54019</c:v>
                </c:pt>
                <c:pt idx="1">
                  <c:v>72896</c:v>
                </c:pt>
                <c:pt idx="2">
                  <c:v>161273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4-4BBD-A1A9-94ED63554F1E}"/>
            </c:ext>
          </c:extLst>
        </c:ser>
        <c:ser>
          <c:idx val="2"/>
          <c:order val="2"/>
          <c:tx>
            <c:strRef>
              <c:f>DATA!$Y$4:$Y$5</c:f>
              <c:strCache>
                <c:ptCount val="1"/>
                <c:pt idx="0">
                  <c:v>KOCHI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DATA!$Y$6:$Y$9</c:f>
              <c:numCache>
                <c:formatCode>General</c:formatCode>
                <c:ptCount val="3"/>
                <c:pt idx="0">
                  <c:v>110525</c:v>
                </c:pt>
                <c:pt idx="1">
                  <c:v>138437</c:v>
                </c:pt>
                <c:pt idx="2">
                  <c:v>44064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4-4BBD-A1A9-94ED63554F1E}"/>
            </c:ext>
          </c:extLst>
        </c:ser>
        <c:ser>
          <c:idx val="3"/>
          <c:order val="3"/>
          <c:tx>
            <c:strRef>
              <c:f>DATA!$Z$4:$Z$5</c:f>
              <c:strCache>
                <c:ptCount val="1"/>
                <c:pt idx="0">
                  <c:v>THRISSUR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DATA!$Z$6:$Z$9</c:f>
              <c:numCache>
                <c:formatCode>General</c:formatCode>
                <c:ptCount val="3"/>
                <c:pt idx="0">
                  <c:v>57796</c:v>
                </c:pt>
                <c:pt idx="1">
                  <c:v>46955</c:v>
                </c:pt>
                <c:pt idx="2">
                  <c:v>100617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4-4BBD-A1A9-94ED63554F1E}"/>
            </c:ext>
          </c:extLst>
        </c:ser>
        <c:ser>
          <c:idx val="4"/>
          <c:order val="4"/>
          <c:tx>
            <c:strRef>
              <c:f>DATA!$AA$4:$AA$5</c:f>
              <c:strCache>
                <c:ptCount val="1"/>
                <c:pt idx="0">
                  <c:v>TRIVANDRUM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DATA!$AA$6:$AA$9</c:f>
              <c:numCache>
                <c:formatCode>General</c:formatCode>
                <c:ptCount val="3"/>
                <c:pt idx="0">
                  <c:v>34818</c:v>
                </c:pt>
                <c:pt idx="1">
                  <c:v>90748</c:v>
                </c:pt>
                <c:pt idx="2">
                  <c:v>91251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4-4BBD-A1A9-94ED63554F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4211775"/>
        <c:axId val="690363887"/>
      </c:barChart>
      <c:catAx>
        <c:axId val="2134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solidFill>
                  <a:schemeClr val="accent3">
                    <a:lumMod val="40000"/>
                    <a:lumOff val="60000"/>
                  </a:schemeClr>
                </a:solidFill>
                <a:effectLst>
                  <a:glow rad="63500">
                    <a:schemeClr val="accent2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63887"/>
        <c:crosses val="autoZero"/>
        <c:auto val="1"/>
        <c:lblAlgn val="ctr"/>
        <c:lblOffset val="100"/>
        <c:noMultiLvlLbl val="0"/>
      </c:catAx>
      <c:valAx>
        <c:axId val="6903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solidFill>
                  <a:schemeClr val="accent3">
                    <a:lumMod val="40000"/>
                    <a:lumOff val="60000"/>
                  </a:schemeClr>
                </a:solidFill>
                <a:effectLst>
                  <a:glow rad="63500">
                    <a:schemeClr val="accent2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1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solidFill>
                <a:schemeClr val="accent3">
                  <a:lumMod val="40000"/>
                  <a:lumOff val="6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>
      <a:noFill/>
    </a:ln>
    <a:effectLst/>
  </c:spPr>
  <c:txPr>
    <a:bodyPr/>
    <a:lstStyle/>
    <a:p>
      <a:pPr>
        <a:defRPr>
          <a:ln>
            <a:solidFill>
              <a:schemeClr val="accent3">
                <a:lumMod val="40000"/>
                <a:lumOff val="60000"/>
              </a:schemeClr>
            </a:solidFill>
          </a:ln>
          <a:solidFill>
            <a:schemeClr val="accent3">
              <a:lumMod val="40000"/>
              <a:lumOff val="60000"/>
            </a:schemeClr>
          </a:solidFill>
          <a:effectLst>
            <a:glow rad="63500">
              <a:schemeClr val="accent2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solidFill>
                      <a:schemeClr val="accent1">
                        <a:lumMod val="60000"/>
                        <a:lumOff val="40000"/>
                      </a:schemeClr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DATA!$W$11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22-423A-A293-0FF1639AD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22-423A-A293-0FF1639AD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22-423A-A293-0FF1639AD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22-423A-A293-0FF1639AD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22-423A-A293-0FF1639AD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22-423A-A293-0FF1639AD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22-423A-A293-0FF1639ADA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DATA!$V$12:$V$19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DATA!$W$12:$W$19</c:f>
              <c:numCache>
                <c:formatCode>General</c:formatCode>
                <c:ptCount val="7"/>
                <c:pt idx="0">
                  <c:v>257608.24999999997</c:v>
                </c:pt>
                <c:pt idx="1">
                  <c:v>203141.15</c:v>
                </c:pt>
                <c:pt idx="2">
                  <c:v>95790.500000000015</c:v>
                </c:pt>
                <c:pt idx="3">
                  <c:v>109287.00000000001</c:v>
                </c:pt>
                <c:pt idx="4">
                  <c:v>89552</c:v>
                </c:pt>
                <c:pt idx="5">
                  <c:v>265853.14999999997</c:v>
                </c:pt>
                <c:pt idx="6">
                  <c:v>209107.25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2-46F6-BCF9-3D60610154C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1">
                <a:lumMod val="60000"/>
                <a:lumOff val="40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2">
                    <a:lumMod val="50000"/>
                  </a:schemeClr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CITY WISE SALES</a:t>
            </a:r>
          </a:p>
        </c:rich>
      </c:tx>
      <c:overlay val="0"/>
      <c:spPr>
        <a:solidFill>
          <a:schemeClr val="accent3">
            <a:lumMod val="60000"/>
            <a:lumOff val="4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  <a:effectLst/>
        <a:scene3d>
          <a:camera prst="orthographicFront"/>
          <a:lightRig rig="threePt" dir="t"/>
        </a:scene3d>
        <a:sp3d>
          <a:bevelT prst="relaxedInset"/>
        </a:sp3d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solidFill>
                  <a:schemeClr val="tx2"/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DATA!$W$21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DATA!$V$22:$V$27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DATA!$W$22:$W$27</c:f>
              <c:numCache>
                <c:formatCode>General</c:formatCode>
                <c:ptCount val="5"/>
                <c:pt idx="0">
                  <c:v>312195</c:v>
                </c:pt>
                <c:pt idx="1">
                  <c:v>288188</c:v>
                </c:pt>
                <c:pt idx="2">
                  <c:v>293026</c:v>
                </c:pt>
                <c:pt idx="3">
                  <c:v>205368</c:v>
                </c:pt>
                <c:pt idx="4">
                  <c:v>216817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531-AC4C-DDF9E108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1502304"/>
        <c:axId val="256276272"/>
        <c:axId val="0"/>
      </c:bar3DChart>
      <c:catAx>
        <c:axId val="19150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76272"/>
        <c:crosses val="autoZero"/>
        <c:auto val="1"/>
        <c:lblAlgn val="ctr"/>
        <c:lblOffset val="100"/>
        <c:noMultiLvlLbl val="0"/>
      </c:catAx>
      <c:valAx>
        <c:axId val="2562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2"/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>
      <a:outerShdw blurRad="50800" dist="38100" dir="16200000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>
            <a:solidFill>
              <a:schemeClr val="tx2"/>
            </a:solidFill>
          </a:ln>
          <a:solidFill>
            <a:schemeClr val="tx1">
              <a:lumMod val="95000"/>
              <a:lumOff val="5000"/>
            </a:schemeClr>
          </a:solidFill>
          <a:effectLst>
            <a:glow rad="101600">
              <a:schemeClr val="accent4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rgbClr val="595900"/>
                </a:solidFill>
                <a:effectLst>
                  <a:glow rad="1016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rgbClr val="C00000"/>
                  </a:solidFill>
                </a:ln>
                <a:solidFill>
                  <a:srgbClr val="595900"/>
                </a:solidFill>
              </a:rPr>
              <a:t>PRODUCTS</a:t>
            </a:r>
          </a:p>
        </c:rich>
      </c:tx>
      <c:layout>
        <c:manualLayout>
          <c:xMode val="edge"/>
          <c:yMode val="edge"/>
          <c:x val="0.40329155730533683"/>
          <c:y val="0.11934966462525518"/>
        </c:manualLayout>
      </c:layout>
      <c:overlay val="0"/>
      <c:spPr>
        <a:solidFill>
          <a:srgbClr val="6FDFFF"/>
        </a:solidFill>
        <a:ln>
          <a:solidFill>
            <a:schemeClr val="accent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 prst="relaxedInset"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rgbClr val="595900"/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5">
                        <a:lumMod val="20000"/>
                        <a:lumOff val="80000"/>
                      </a:schemeClr>
                    </a:solidFill>
                  </a:ln>
                  <a:solidFill>
                    <a:schemeClr val="accent2">
                      <a:lumMod val="20000"/>
                      <a:lumOff val="80000"/>
                    </a:schemeClr>
                  </a:solidFill>
                  <a:effectLst>
                    <a:glow rad="101600">
                      <a:schemeClr val="accent5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DATA!$W$29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AB-4910-BC42-5AB4FF1F26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AB-4910-BC42-5AB4FF1F26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AB-4910-BC42-5AB4FF1F26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AB-4910-BC42-5AB4FF1F26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7AB-4910-BC42-5AB4FF1F26DF}"/>
              </c:ext>
            </c:extLst>
          </c:dPt>
          <c:cat>
            <c:strRef>
              <c:f>DATA!$V$30:$V$35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DATA!$W$30:$W$35</c:f>
              <c:numCache>
                <c:formatCode>General</c:formatCode>
                <c:ptCount val="5"/>
                <c:pt idx="0">
                  <c:v>27</c:v>
                </c:pt>
                <c:pt idx="1">
                  <c:v>20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F-40D5-A930-ED14E059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chemeClr val="accent2">
                  <a:lumMod val="20000"/>
                  <a:lumOff val="80000"/>
                </a:schemeClr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5">
                <a:lumMod val="20000"/>
                <a:lumOff val="80000"/>
              </a:schemeClr>
            </a:solidFill>
          </a:ln>
          <a:solidFill>
            <a:schemeClr val="accent2">
              <a:lumMod val="20000"/>
              <a:lumOff val="80000"/>
            </a:schemeClr>
          </a:solidFill>
          <a:effectLst>
            <a:glow rad="101600">
              <a:schemeClr val="accent5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3">
                        <a:lumMod val="40000"/>
                        <a:lumOff val="60000"/>
                      </a:schemeClr>
                    </a:solidFill>
                  </a:ln>
                  <a:solidFill>
                    <a:schemeClr val="accent3">
                      <a:lumMod val="40000"/>
                      <a:lumOff val="60000"/>
                    </a:schemeClr>
                  </a:solidFill>
                  <a:effectLst>
                    <a:glow rad="63500">
                      <a:schemeClr val="accent2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DATA!$W$4:$W$5</c:f>
              <c:strCache>
                <c:ptCount val="1"/>
                <c:pt idx="0">
                  <c:v>CALICUT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DATA!$W$6:$W$9</c:f>
              <c:numCache>
                <c:formatCode>General</c:formatCode>
                <c:ptCount val="3"/>
                <c:pt idx="0">
                  <c:v>136949</c:v>
                </c:pt>
                <c:pt idx="1">
                  <c:v>89363</c:v>
                </c:pt>
                <c:pt idx="2">
                  <c:v>85883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9-4B2D-BA29-A08ACD358473}"/>
            </c:ext>
          </c:extLst>
        </c:ser>
        <c:ser>
          <c:idx val="1"/>
          <c:order val="1"/>
          <c:tx>
            <c:strRef>
              <c:f>DATA!$X$4:$X$5</c:f>
              <c:strCache>
                <c:ptCount val="1"/>
                <c:pt idx="0">
                  <c:v>KANNUR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DATA!$X$6:$X$9</c:f>
              <c:numCache>
                <c:formatCode>General</c:formatCode>
                <c:ptCount val="3"/>
                <c:pt idx="0">
                  <c:v>54019</c:v>
                </c:pt>
                <c:pt idx="1">
                  <c:v>72896</c:v>
                </c:pt>
                <c:pt idx="2">
                  <c:v>161273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9-4B2D-BA29-A08ACD358473}"/>
            </c:ext>
          </c:extLst>
        </c:ser>
        <c:ser>
          <c:idx val="2"/>
          <c:order val="2"/>
          <c:tx>
            <c:strRef>
              <c:f>DATA!$Y$4:$Y$5</c:f>
              <c:strCache>
                <c:ptCount val="1"/>
                <c:pt idx="0">
                  <c:v>KOCHI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DATA!$Y$6:$Y$9</c:f>
              <c:numCache>
                <c:formatCode>General</c:formatCode>
                <c:ptCount val="3"/>
                <c:pt idx="0">
                  <c:v>110525</c:v>
                </c:pt>
                <c:pt idx="1">
                  <c:v>138437</c:v>
                </c:pt>
                <c:pt idx="2">
                  <c:v>44064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9-4B2D-BA29-A08ACD358473}"/>
            </c:ext>
          </c:extLst>
        </c:ser>
        <c:ser>
          <c:idx val="3"/>
          <c:order val="3"/>
          <c:tx>
            <c:strRef>
              <c:f>DATA!$Z$4:$Z$5</c:f>
              <c:strCache>
                <c:ptCount val="1"/>
                <c:pt idx="0">
                  <c:v>THRISSUR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DATA!$Z$6:$Z$9</c:f>
              <c:numCache>
                <c:formatCode>General</c:formatCode>
                <c:ptCount val="3"/>
                <c:pt idx="0">
                  <c:v>57796</c:v>
                </c:pt>
                <c:pt idx="1">
                  <c:v>46955</c:v>
                </c:pt>
                <c:pt idx="2">
                  <c:v>100617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C9-4B2D-BA29-A08ACD358473}"/>
            </c:ext>
          </c:extLst>
        </c:ser>
        <c:ser>
          <c:idx val="4"/>
          <c:order val="4"/>
          <c:tx>
            <c:strRef>
              <c:f>DATA!$AA$4:$AA$5</c:f>
              <c:strCache>
                <c:ptCount val="1"/>
                <c:pt idx="0">
                  <c:v>TRIVANDRUM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</a:ln>
                    <a:solidFill>
                      <a:schemeClr val="accent3">
                        <a:lumMod val="40000"/>
                        <a:lumOff val="60000"/>
                      </a:schemeClr>
                    </a:solidFill>
                    <a:effectLst>
                      <a:glow rad="63500">
                        <a:schemeClr val="accent2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DATA!$V$6:$V$9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DATA!$AA$6:$AA$9</c:f>
              <c:numCache>
                <c:formatCode>General</c:formatCode>
                <c:ptCount val="3"/>
                <c:pt idx="0">
                  <c:v>34818</c:v>
                </c:pt>
                <c:pt idx="1">
                  <c:v>90748</c:v>
                </c:pt>
                <c:pt idx="2">
                  <c:v>91251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C9-4B2D-BA29-A08ACD358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4211775"/>
        <c:axId val="690363887"/>
      </c:barChart>
      <c:catAx>
        <c:axId val="2134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solidFill>
                  <a:schemeClr val="accent3">
                    <a:lumMod val="40000"/>
                    <a:lumOff val="60000"/>
                  </a:schemeClr>
                </a:solidFill>
                <a:effectLst>
                  <a:glow rad="63500">
                    <a:schemeClr val="accent2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63887"/>
        <c:crosses val="autoZero"/>
        <c:auto val="1"/>
        <c:lblAlgn val="ctr"/>
        <c:lblOffset val="100"/>
        <c:noMultiLvlLbl val="0"/>
      </c:catAx>
      <c:valAx>
        <c:axId val="6903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solidFill>
                  <a:schemeClr val="accent3">
                    <a:lumMod val="40000"/>
                    <a:lumOff val="60000"/>
                  </a:schemeClr>
                </a:solidFill>
                <a:effectLst>
                  <a:glow rad="63500">
                    <a:schemeClr val="accent2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1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solidFill>
                <a:schemeClr val="accent3">
                  <a:lumMod val="40000"/>
                  <a:lumOff val="6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>
      <a:noFill/>
    </a:ln>
    <a:effectLst/>
    <a:scene3d>
      <a:camera prst="orthographicFront"/>
      <a:lightRig rig="threePt" dir="t"/>
    </a:scene3d>
    <a:sp3d>
      <a:bevelT w="152400" h="50800" prst="softRound"/>
    </a:sp3d>
  </c:spPr>
  <c:txPr>
    <a:bodyPr/>
    <a:lstStyle/>
    <a:p>
      <a:pPr>
        <a:defRPr>
          <a:ln>
            <a:solidFill>
              <a:schemeClr val="accent3">
                <a:lumMod val="40000"/>
                <a:lumOff val="60000"/>
              </a:schemeClr>
            </a:solidFill>
          </a:ln>
          <a:solidFill>
            <a:schemeClr val="accent3">
              <a:lumMod val="40000"/>
              <a:lumOff val="60000"/>
            </a:schemeClr>
          </a:solidFill>
          <a:effectLst>
            <a:glow rad="63500">
              <a:schemeClr val="accent2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accent2">
                    <a:lumMod val="50000"/>
                  </a:schemeClr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CITY WISE SALES</a:t>
            </a:r>
          </a:p>
        </c:rich>
      </c:tx>
      <c:overlay val="0"/>
      <c:spPr>
        <a:solidFill>
          <a:schemeClr val="accent3">
            <a:lumMod val="60000"/>
            <a:lumOff val="4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  <a:effectLst/>
        <a:scene3d>
          <a:camera prst="orthographicFront"/>
          <a:lightRig rig="threePt" dir="t"/>
        </a:scene3d>
        <a:sp3d>
          <a:bevelT prst="relaxedInset"/>
        </a:sp3d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solidFill>
                  <a:schemeClr val="tx2"/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glow rad="101600">
                      <a:schemeClr val="accent4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DATA!$W$21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DATA!$V$22:$V$27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DATA!$W$22:$W$27</c:f>
              <c:numCache>
                <c:formatCode>General</c:formatCode>
                <c:ptCount val="5"/>
                <c:pt idx="0">
                  <c:v>312195</c:v>
                </c:pt>
                <c:pt idx="1">
                  <c:v>288188</c:v>
                </c:pt>
                <c:pt idx="2">
                  <c:v>293026</c:v>
                </c:pt>
                <c:pt idx="3">
                  <c:v>205368</c:v>
                </c:pt>
                <c:pt idx="4">
                  <c:v>216817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9-4E6B-AB15-0FDEF31C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1502304"/>
        <c:axId val="256276272"/>
        <c:axId val="0"/>
      </c:bar3DChart>
      <c:catAx>
        <c:axId val="19150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76272"/>
        <c:crosses val="autoZero"/>
        <c:auto val="1"/>
        <c:lblAlgn val="ctr"/>
        <c:lblOffset val="100"/>
        <c:noMultiLvlLbl val="0"/>
      </c:catAx>
      <c:valAx>
        <c:axId val="2562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accent4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2"/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effectLst>
                <a:glow rad="101600">
                  <a:schemeClr val="accent4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/>
      </a:solidFill>
      <a:round/>
    </a:ln>
    <a:effectLst>
      <a:outerShdw blurRad="50800" dist="38100" dir="16200000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prst="relaxedInset"/>
    </a:sp3d>
  </c:spPr>
  <c:txPr>
    <a:bodyPr/>
    <a:lstStyle/>
    <a:p>
      <a:pPr>
        <a:defRPr>
          <a:ln>
            <a:solidFill>
              <a:schemeClr val="tx2"/>
            </a:solidFill>
          </a:ln>
          <a:solidFill>
            <a:schemeClr val="tx1">
              <a:lumMod val="95000"/>
              <a:lumOff val="5000"/>
            </a:schemeClr>
          </a:solidFill>
          <a:effectLst>
            <a:glow rad="101600">
              <a:schemeClr val="accent4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solidFill>
                      <a:schemeClr val="accent1">
                        <a:lumMod val="60000"/>
                        <a:lumOff val="40000"/>
                      </a:schemeClr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solidFill>
                      <a:schemeClr val="accent1">
                        <a:lumMod val="60000"/>
                        <a:lumOff val="40000"/>
                      </a:schemeClr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solidFill>
                      <a:schemeClr val="accent1">
                        <a:lumMod val="60000"/>
                        <a:lumOff val="40000"/>
                      </a:schemeClr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DATA!$W$11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98-4196-80F9-520A715982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98-4196-80F9-520A715982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98-4196-80F9-520A715982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98-4196-80F9-520A715982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598-4196-80F9-520A715982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598-4196-80F9-520A715982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598-4196-80F9-520A715982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DATA!$V$12:$V$19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PEN SET</c:v>
                </c:pt>
              </c:strCache>
            </c:strRef>
          </c:cat>
          <c:val>
            <c:numRef>
              <c:f>DATA!$W$12:$W$19</c:f>
              <c:numCache>
                <c:formatCode>General</c:formatCode>
                <c:ptCount val="7"/>
                <c:pt idx="0">
                  <c:v>257608.24999999997</c:v>
                </c:pt>
                <c:pt idx="1">
                  <c:v>203141.15</c:v>
                </c:pt>
                <c:pt idx="2">
                  <c:v>95790.500000000015</c:v>
                </c:pt>
                <c:pt idx="3">
                  <c:v>109287.00000000001</c:v>
                </c:pt>
                <c:pt idx="4">
                  <c:v>89552</c:v>
                </c:pt>
                <c:pt idx="5">
                  <c:v>265853.14999999997</c:v>
                </c:pt>
                <c:pt idx="6">
                  <c:v>209107.25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598-4196-80F9-520A7159826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prst="convex"/>
    </a:sp3d>
  </c:spPr>
  <c:txPr>
    <a:bodyPr/>
    <a:lstStyle/>
    <a:p>
      <a:pPr>
        <a:defRPr>
          <a:ln>
            <a:solidFill>
              <a:schemeClr val="accent1">
                <a:lumMod val="60000"/>
                <a:lumOff val="40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[company-sales-dataset-.xlsx]DATA!PivotTable4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5">
                      <a:lumMod val="20000"/>
                      <a:lumOff val="80000"/>
                    </a:schemeClr>
                  </a:solidFill>
                </a:ln>
                <a:solidFill>
                  <a:srgbClr val="595900"/>
                </a:solidFill>
                <a:effectLst>
                  <a:glow rad="101600">
                    <a:schemeClr val="accent5">
                      <a:satMod val="175000"/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rgbClr val="C00000"/>
                  </a:solidFill>
                </a:ln>
                <a:solidFill>
                  <a:srgbClr val="595900"/>
                </a:solidFill>
              </a:rPr>
              <a:t>PRODUCTS</a:t>
            </a:r>
          </a:p>
        </c:rich>
      </c:tx>
      <c:layout>
        <c:manualLayout>
          <c:xMode val="edge"/>
          <c:yMode val="edge"/>
          <c:x val="0.40329155730533683"/>
          <c:y val="0.11934966462525518"/>
        </c:manualLayout>
      </c:layout>
      <c:overlay val="0"/>
      <c:spPr>
        <a:solidFill>
          <a:srgbClr val="6FDFFF"/>
        </a:solidFill>
        <a:ln>
          <a:solidFill>
            <a:schemeClr val="accent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 prst="relaxedInset"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rgbClr val="595900"/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chemeClr val="accent5">
                        <a:lumMod val="20000"/>
                        <a:lumOff val="80000"/>
                      </a:schemeClr>
                    </a:solidFill>
                  </a:ln>
                  <a:solidFill>
                    <a:schemeClr val="accent2">
                      <a:lumMod val="20000"/>
                      <a:lumOff val="80000"/>
                    </a:schemeClr>
                  </a:solidFill>
                  <a:effectLst>
                    <a:glow rad="101600">
                      <a:schemeClr val="accent5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5">
                        <a:lumMod val="20000"/>
                        <a:lumOff val="80000"/>
                      </a:schemeClr>
                    </a:solidFill>
                  </a:ln>
                  <a:solidFill>
                    <a:schemeClr val="accent2">
                      <a:lumMod val="20000"/>
                      <a:lumOff val="80000"/>
                    </a:schemeClr>
                  </a:solidFill>
                  <a:effectLst>
                    <a:glow rad="101600">
                      <a:schemeClr val="accent5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5">
                        <a:lumMod val="20000"/>
                        <a:lumOff val="80000"/>
                      </a:schemeClr>
                    </a:solidFill>
                  </a:ln>
                  <a:solidFill>
                    <a:schemeClr val="accent2">
                      <a:lumMod val="20000"/>
                      <a:lumOff val="80000"/>
                    </a:schemeClr>
                  </a:solidFill>
                  <a:effectLst>
                    <a:glow rad="101600">
                      <a:schemeClr val="accent5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DATA!$W$29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BA-4DBF-B9B4-1D23511937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BA-4DBF-B9B4-1D23511937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BBA-4DBF-B9B4-1D23511937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BBA-4DBF-B9B4-1D23511937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BBA-4DBF-B9B4-1D2351193709}"/>
              </c:ext>
            </c:extLst>
          </c:dPt>
          <c:cat>
            <c:strRef>
              <c:f>DATA!$V$30:$V$35</c:f>
              <c:strCache>
                <c:ptCount val="5"/>
                <c:pt idx="0">
                  <c:v>CALICUT</c:v>
                </c:pt>
                <c:pt idx="1">
                  <c:v>KANNUR</c:v>
                </c:pt>
                <c:pt idx="2">
                  <c:v>KOCHI</c:v>
                </c:pt>
                <c:pt idx="3">
                  <c:v>THRISSUR</c:v>
                </c:pt>
                <c:pt idx="4">
                  <c:v>TRIVANDRUM</c:v>
                </c:pt>
              </c:strCache>
            </c:strRef>
          </c:cat>
          <c:val>
            <c:numRef>
              <c:f>DATA!$W$30:$W$35</c:f>
              <c:numCache>
                <c:formatCode>General</c:formatCode>
                <c:ptCount val="5"/>
                <c:pt idx="0">
                  <c:v>27</c:v>
                </c:pt>
                <c:pt idx="1">
                  <c:v>20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BA-4DBF-B9B4-1D235119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  <a:solidFill>
                <a:schemeClr val="accent2">
                  <a:lumMod val="20000"/>
                  <a:lumOff val="80000"/>
                </a:schemeClr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>
          <a:ln>
            <a:solidFill>
              <a:schemeClr val="accent5">
                <a:lumMod val="20000"/>
                <a:lumOff val="80000"/>
              </a:schemeClr>
            </a:solidFill>
          </a:ln>
          <a:solidFill>
            <a:schemeClr val="accent2">
              <a:lumMod val="20000"/>
              <a:lumOff val="80000"/>
            </a:schemeClr>
          </a:solidFill>
          <a:effectLst>
            <a:glow rad="101600">
              <a:schemeClr val="accent5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213360</xdr:colOff>
      <xdr:row>4</xdr:row>
      <xdr:rowOff>171450</xdr:rowOff>
    </xdr:from>
    <xdr:to>
      <xdr:col>35</xdr:col>
      <xdr:colOff>518160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77553-7AEE-B6B5-957A-102691943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228600</xdr:colOff>
      <xdr:row>20</xdr:row>
      <xdr:rowOff>22860</xdr:rowOff>
    </xdr:from>
    <xdr:to>
      <xdr:col>35</xdr:col>
      <xdr:colOff>533400</xdr:colOff>
      <xdr:row>35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817B4F-5A66-A325-EC09-A4510A88A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7620</xdr:colOff>
      <xdr:row>4</xdr:row>
      <xdr:rowOff>68580</xdr:rowOff>
    </xdr:from>
    <xdr:to>
      <xdr:col>43</xdr:col>
      <xdr:colOff>312420</xdr:colOff>
      <xdr:row>19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29EA71-49D4-A43F-D458-FABAFEBD2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106680</xdr:colOff>
      <xdr:row>19</xdr:row>
      <xdr:rowOff>160020</xdr:rowOff>
    </xdr:from>
    <xdr:to>
      <xdr:col>43</xdr:col>
      <xdr:colOff>411480</xdr:colOff>
      <xdr:row>34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14BD0E-9593-E667-7746-EB8850499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10</xdr:row>
      <xdr:rowOff>30480</xdr:rowOff>
    </xdr:from>
    <xdr:to>
      <xdr:col>9</xdr:col>
      <xdr:colOff>182880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8D5EA4-725D-4EE1-96D8-512534362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106680</xdr:colOff>
      <xdr:row>10</xdr:row>
      <xdr:rowOff>53340</xdr:rowOff>
    </xdr:from>
    <xdr:to>
      <xdr:col>17</xdr:col>
      <xdr:colOff>411480</xdr:colOff>
      <xdr:row>25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F2091C-2333-4B83-B7D6-561E6E7D0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190500</xdr:colOff>
      <xdr:row>26</xdr:row>
      <xdr:rowOff>0</xdr:rowOff>
    </xdr:from>
    <xdr:to>
      <xdr:col>8</xdr:col>
      <xdr:colOff>495300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F93B65-4B1F-453D-90FD-4D83F1C7D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220980</xdr:colOff>
      <xdr:row>26</xdr:row>
      <xdr:rowOff>45720</xdr:rowOff>
    </xdr:from>
    <xdr:to>
      <xdr:col>16</xdr:col>
      <xdr:colOff>525780</xdr:colOff>
      <xdr:row>41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7C173E-848F-4526-AA1D-7CF7CD7A7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</xdr:row>
      <xdr:rowOff>99060</xdr:rowOff>
    </xdr:from>
    <xdr:to>
      <xdr:col>7</xdr:col>
      <xdr:colOff>396240</xdr:colOff>
      <xdr:row>7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082BBF-A4EA-668F-53CA-E382BA0AB727}"/>
            </a:ext>
          </a:extLst>
        </xdr:cNvPr>
        <xdr:cNvSpPr txBox="1"/>
      </xdr:nvSpPr>
      <xdr:spPr>
        <a:xfrm>
          <a:off x="1219200" y="830580"/>
          <a:ext cx="3276600" cy="74676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accent3">
              <a:lumMod val="75000"/>
            </a:schemeClr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accent3">
                  <a:lumMod val="50000"/>
                </a:schemeClr>
              </a:solidFill>
            </a:rPr>
            <a:t>TOTAL NUMBER OF SALES  :    1315594</a:t>
          </a:r>
        </a:p>
      </xdr:txBody>
    </xdr:sp>
    <xdr:clientData/>
  </xdr:twoCellAnchor>
  <xdr:oneCellAnchor>
    <xdr:from>
      <xdr:col>8</xdr:col>
      <xdr:colOff>220980</xdr:colOff>
      <xdr:row>4</xdr:row>
      <xdr:rowOff>60960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CCA0C86-B8F0-457C-6CD1-38A8C7646D58}"/>
            </a:ext>
          </a:extLst>
        </xdr:cNvPr>
        <xdr:cNvSpPr txBox="1"/>
      </xdr:nvSpPr>
      <xdr:spPr>
        <a:xfrm>
          <a:off x="4930140" y="9753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7</xdr:col>
      <xdr:colOff>487680</xdr:colOff>
      <xdr:row>3</xdr:row>
      <xdr:rowOff>160020</xdr:rowOff>
    </xdr:from>
    <xdr:to>
      <xdr:col>12</xdr:col>
      <xdr:colOff>243840</xdr:colOff>
      <xdr:row>7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815235E-D187-F4FD-0A3A-0C566D578FF7}"/>
            </a:ext>
          </a:extLst>
        </xdr:cNvPr>
        <xdr:cNvSpPr txBox="1"/>
      </xdr:nvSpPr>
      <xdr:spPr>
        <a:xfrm>
          <a:off x="4587240" y="891540"/>
          <a:ext cx="2804160" cy="6477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600" b="1"/>
        </a:p>
        <a:p>
          <a:pPr algn="ctr"/>
          <a:r>
            <a:rPr lang="en-IN" sz="1600" b="1"/>
            <a:t>AVERAGE SALES : 13155.94</a:t>
          </a:r>
        </a:p>
      </xdr:txBody>
    </xdr:sp>
    <xdr:clientData/>
  </xdr:twoCellAnchor>
  <xdr:twoCellAnchor>
    <xdr:from>
      <xdr:col>12</xdr:col>
      <xdr:colOff>342900</xdr:colOff>
      <xdr:row>3</xdr:row>
      <xdr:rowOff>60960</xdr:rowOff>
    </xdr:from>
    <xdr:to>
      <xdr:col>17</xdr:col>
      <xdr:colOff>601980</xdr:colOff>
      <xdr:row>7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4859CE-BAE6-A696-AA57-11819408691F}"/>
            </a:ext>
          </a:extLst>
        </xdr:cNvPr>
        <xdr:cNvSpPr txBox="1"/>
      </xdr:nvSpPr>
      <xdr:spPr>
        <a:xfrm>
          <a:off x="7490460" y="792480"/>
          <a:ext cx="3307080" cy="78486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accent2">
              <a:lumMod val="60000"/>
              <a:lumOff val="40000"/>
            </a:schemeClr>
          </a:solidFill>
        </a:ln>
        <a:effectLst>
          <a:glow rad="1016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 prst="convex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600" b="1"/>
        </a:p>
        <a:p>
          <a:pPr algn="ctr"/>
          <a:r>
            <a:rPr lang="en-IN" sz="1600" b="1"/>
            <a:t>TOTAL QUANTITY</a:t>
          </a:r>
          <a:r>
            <a:rPr lang="en-IN" sz="1600" b="1" baseline="0"/>
            <a:t> : 522</a:t>
          </a:r>
          <a:endParaRPr lang="en-IN" sz="1600" b="1"/>
        </a:p>
      </xdr:txBody>
    </xdr:sp>
    <xdr:clientData/>
  </xdr:twoCellAnchor>
  <xdr:twoCellAnchor>
    <xdr:from>
      <xdr:col>6</xdr:col>
      <xdr:colOff>487680</xdr:colOff>
      <xdr:row>0</xdr:row>
      <xdr:rowOff>137160</xdr:rowOff>
    </xdr:from>
    <xdr:to>
      <xdr:col>12</xdr:col>
      <xdr:colOff>327660</xdr:colOff>
      <xdr:row>3</xdr:row>
      <xdr:rowOff>7620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F14472B-0362-57DB-9106-E20391A0E9F5}"/>
            </a:ext>
          </a:extLst>
        </xdr:cNvPr>
        <xdr:cNvSpPr txBox="1"/>
      </xdr:nvSpPr>
      <xdr:spPr>
        <a:xfrm>
          <a:off x="3977640" y="137160"/>
          <a:ext cx="3497580" cy="60198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perspectiveLeft"/>
            <a:lightRig rig="threePt" dir="t"/>
          </a:scene3d>
        </a:bodyPr>
        <a:lstStyle/>
        <a:p>
          <a:pPr algn="ctr"/>
          <a:r>
            <a:rPr lang="en-IN" sz="2000" b="0" cap="none" spc="0">
              <a:ln w="0">
                <a:solidFill>
                  <a:schemeClr val="tx1"/>
                </a:solidFill>
              </a:ln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239.448809490743" createdVersion="8" refreshedVersion="8" minRefreshableVersion="3" recordCount="100" xr:uid="{3ADC2432-0488-419E-921D-93C4C6FEF5BD}">
  <cacheSource type="worksheet">
    <worksheetSource name="Table1_1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26-01-03T00:00:00" maxDate="2026-07-01T00:00:00"/>
    </cacheField>
    <cacheField name="Customer Name" numFmtId="0">
      <sharedItems/>
    </cacheField>
    <cacheField name="City" numFmtId="0">
      <sharedItems count="5">
        <s v="KANNUR"/>
        <s v="CALICUT"/>
        <s v="THRISSUR"/>
        <s v="TRIVANDRUM"/>
        <s v="KOCHI"/>
      </sharedItems>
    </cacheField>
    <cacheField name="Department" numFmtId="0">
      <sharedItems/>
    </cacheField>
    <cacheField name="Product" numFmtId="0">
      <sharedItems count="7">
        <s v="NOTEBOOK"/>
        <s v="CHAIR"/>
        <s v="DESK"/>
        <s v="KEYBOARD"/>
        <s v="MOUSE"/>
        <s v="PEN SET"/>
        <s v="LAPTOP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310" maxValue="4928"/>
    </cacheField>
    <cacheField name="Discount %" numFmtId="0">
      <sharedItems containsSemiMixedTypes="0" containsString="0" containsNumber="1" containsInteger="1" minValue="0" maxValue="15"/>
    </cacheField>
    <cacheField name="Discount Amount" numFmtId="0">
      <sharedItems containsSemiMixedTypes="0" containsString="0" containsNumber="1" minValue="0" maxValue="6216"/>
    </cacheField>
    <cacheField name="After Discount Amount" numFmtId="0">
      <sharedItems containsSemiMixedTypes="0" containsString="0" containsNumber="1" minValue="300.05" maxValue="44352"/>
    </cacheField>
    <cacheField name="Status " numFmtId="0">
      <sharedItems/>
    </cacheField>
    <cacheField name="TOTAL SALES" numFmtId="0">
      <sharedItems containsSemiMixedTypes="0" containsString="0" containsNumber="1" containsInteger="1" minValue="319" maxValue="44352"/>
    </cacheField>
    <cacheField name="Payment Method" numFmtId="0">
      <sharedItems count="3">
        <s v="UPI"/>
        <s v="CARD"/>
        <s v="CASH"/>
      </sharedItems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02"/>
    <d v="2026-04-25T00:00:00"/>
    <s v="CUSTOMER 1"/>
    <x v="0"/>
    <s v="OFFICE SUPPLIES"/>
    <x v="0"/>
    <s v="AISHA"/>
    <n v="6"/>
    <n v="4924"/>
    <n v="0"/>
    <n v="0"/>
    <n v="29544"/>
    <s v="PENDING"/>
    <n v="29544"/>
    <x v="0"/>
    <s v="REPEATCUSTOMER"/>
  </r>
  <r>
    <s v="1003"/>
    <d v="2026-03-21T00:00:00"/>
    <s v="CUSTOMER 2"/>
    <x v="0"/>
    <s v="OFFICE SUPPLIES"/>
    <x v="0"/>
    <s v="AISHA"/>
    <n v="2"/>
    <n v="3788"/>
    <n v="15"/>
    <n v="1136.4000000000001"/>
    <n v="6439.6"/>
    <s v="PENDING"/>
    <n v="7576"/>
    <x v="0"/>
    <s v="NO REMARKS"/>
  </r>
  <r>
    <s v="1004"/>
    <d v="2026-06-23T00:00:00"/>
    <s v="CUSTOMER 3"/>
    <x v="1"/>
    <s v="FURNITURE"/>
    <x v="1"/>
    <s v="NEHA"/>
    <n v="9"/>
    <n v="636"/>
    <n v="5"/>
    <n v="286.2"/>
    <n v="5437.8"/>
    <s v="COMPLETED"/>
    <n v="5724"/>
    <x v="1"/>
    <s v="NO REMARKS"/>
  </r>
  <r>
    <s v="1005"/>
    <d v="2026-03-20T00:00:00"/>
    <s v="CUSTOMER 4"/>
    <x v="2"/>
    <s v="FURNITURE"/>
    <x v="2"/>
    <s v="NEHA"/>
    <n v="5"/>
    <n v="4721"/>
    <n v="5"/>
    <n v="1180.25"/>
    <n v="22424.75"/>
    <s v="COMPLETED"/>
    <n v="23605"/>
    <x v="2"/>
    <s v="REPEATCUSTOMER"/>
  </r>
  <r>
    <s v="1006"/>
    <d v="2026-03-10T00:00:00"/>
    <s v="CUSTOMER 5"/>
    <x v="3"/>
    <s v="ELECTRONICS"/>
    <x v="3"/>
    <s v="AISHA"/>
    <n v="5"/>
    <n v="310"/>
    <n v="10"/>
    <n v="155"/>
    <n v="1395"/>
    <s v="PENDING"/>
    <n v="1550"/>
    <x v="2"/>
    <s v="REPEATCUSTOMER"/>
  </r>
  <r>
    <s v="1007"/>
    <d v="2026-05-28T00:00:00"/>
    <s v="CUSTOMER 6"/>
    <x v="1"/>
    <s v="ELECTRONICS"/>
    <x v="4"/>
    <s v="ARUN"/>
    <n v="4"/>
    <n v="1365"/>
    <n v="5"/>
    <n v="273"/>
    <n v="5187"/>
    <s v="COMPLETED"/>
    <n v="5460"/>
    <x v="1"/>
    <s v="URGENT"/>
  </r>
  <r>
    <s v="1008"/>
    <d v="2026-06-21T00:00:00"/>
    <s v="CUSTOMER 7"/>
    <x v="4"/>
    <s v="FURNITURE"/>
    <x v="1"/>
    <s v="ARUN"/>
    <n v="4"/>
    <n v="3367"/>
    <n v="5"/>
    <n v="673.4"/>
    <n v="12794.6"/>
    <s v="PENDING"/>
    <n v="13468"/>
    <x v="1"/>
    <s v="REPEATCUSTOMER"/>
  </r>
  <r>
    <s v="1009"/>
    <d v="2026-02-27T00:00:00"/>
    <s v="CUSTOMER 8"/>
    <x v="1"/>
    <s v="OFFICE SUPPLIES"/>
    <x v="5"/>
    <s v="RAHUL"/>
    <n v="7"/>
    <n v="635"/>
    <n v="10"/>
    <n v="444.5"/>
    <n v="4000.5"/>
    <s v="COMPLETED"/>
    <n v="4445"/>
    <x v="2"/>
    <s v="REPEATCUSTOMER"/>
  </r>
  <r>
    <s v="1010"/>
    <d v="2026-02-22T00:00:00"/>
    <s v="CUSTOMER 9"/>
    <x v="4"/>
    <s v="OFFICE SUPPLIES"/>
    <x v="5"/>
    <s v="ARUN"/>
    <n v="2"/>
    <n v="931"/>
    <n v="10"/>
    <n v="186.2"/>
    <n v="1675.8"/>
    <s v="COMPLETED"/>
    <n v="1862"/>
    <x v="2"/>
    <s v="NEWLEAD"/>
  </r>
  <r>
    <s v="1011"/>
    <d v="2026-02-14T00:00:00"/>
    <s v="CUSTOMER 10"/>
    <x v="0"/>
    <s v="OFFICE SUPPLIES"/>
    <x v="0"/>
    <s v="ARUN"/>
    <n v="2"/>
    <n v="1634"/>
    <n v="15"/>
    <n v="490.2"/>
    <n v="2777.8"/>
    <s v="COMPLETED"/>
    <n v="3268"/>
    <x v="1"/>
    <s v="NO REMARKS"/>
  </r>
  <r>
    <s v="1012"/>
    <d v="2026-02-23T00:00:00"/>
    <s v="CUSTOMER 11"/>
    <x v="1"/>
    <s v="FURNITURE"/>
    <x v="2"/>
    <s v="RAHUL"/>
    <n v="7"/>
    <n v="4252"/>
    <n v="15"/>
    <n v="4464.6000000000004"/>
    <n v="25299.4"/>
    <s v="COMPLETED"/>
    <n v="29764"/>
    <x v="0"/>
    <s v="NO REMARKS"/>
  </r>
  <r>
    <s v="1013"/>
    <d v="2026-06-16T00:00:00"/>
    <s v="CUSTOMER 12"/>
    <x v="1"/>
    <s v="OFFICE SUPPLIES"/>
    <x v="0"/>
    <s v="AISHA"/>
    <n v="2"/>
    <n v="2374"/>
    <n v="10"/>
    <n v="474.8"/>
    <n v="4273.2"/>
    <s v="PENDING"/>
    <n v="4748"/>
    <x v="2"/>
    <s v="NO REMARKS"/>
  </r>
  <r>
    <s v="1014"/>
    <d v="2026-06-20T00:00:00"/>
    <s v="CUSTOMER 13"/>
    <x v="4"/>
    <s v="OFFICE SUPPLIES"/>
    <x v="0"/>
    <s v="AISHA"/>
    <n v="5"/>
    <n v="1612"/>
    <n v="5"/>
    <n v="403"/>
    <n v="7657"/>
    <s v="COMPLETED"/>
    <n v="8060"/>
    <x v="1"/>
    <s v="URGENT"/>
  </r>
  <r>
    <s v="1015"/>
    <d v="2026-06-09T00:00:00"/>
    <s v="CUSTOMER 14"/>
    <x v="1"/>
    <s v="ELECTRONICS"/>
    <x v="6"/>
    <s v="RAHUL"/>
    <n v="10"/>
    <n v="1044"/>
    <n v="15"/>
    <n v="1566"/>
    <n v="8874"/>
    <s v="PENDING"/>
    <n v="10440"/>
    <x v="1"/>
    <s v="REPEATCUSTOMER"/>
  </r>
  <r>
    <s v="1016"/>
    <d v="2026-04-01T00:00:00"/>
    <s v="CUSTOMER 15"/>
    <x v="4"/>
    <s v="ELECTRONICS"/>
    <x v="6"/>
    <s v="RAHUL"/>
    <n v="9"/>
    <n v="3043"/>
    <n v="10"/>
    <n v="2738.7"/>
    <n v="24648.3"/>
    <s v="COMPLETED"/>
    <n v="27387"/>
    <x v="2"/>
    <s v="NO REMARKS"/>
  </r>
  <r>
    <s v="1017"/>
    <d v="2026-06-24T00:00:00"/>
    <s v="CUSTOMER 16"/>
    <x v="0"/>
    <s v="OFFICE SUPPLIES"/>
    <x v="0"/>
    <s v="AISHA"/>
    <n v="1"/>
    <n v="319"/>
    <n v="5"/>
    <n v="15.95"/>
    <n v="303.05"/>
    <s v="COMPLETED"/>
    <n v="319"/>
    <x v="2"/>
    <s v="URGENT"/>
  </r>
  <r>
    <s v="1018"/>
    <d v="2026-02-10T00:00:00"/>
    <s v="CUSTOMER 17"/>
    <x v="0"/>
    <s v="OFFICE SUPPLIES"/>
    <x v="0"/>
    <s v="RAHUL"/>
    <n v="8"/>
    <n v="4177"/>
    <n v="0"/>
    <n v="0"/>
    <n v="33416"/>
    <s v="PENDING"/>
    <n v="33416"/>
    <x v="0"/>
    <s v="URGENT"/>
  </r>
  <r>
    <s v="1019"/>
    <d v="2026-03-18T00:00:00"/>
    <s v="CUSTOMER 18"/>
    <x v="1"/>
    <s v="FURNITURE"/>
    <x v="1"/>
    <s v="RAHUL"/>
    <n v="4"/>
    <n v="3996"/>
    <n v="5"/>
    <n v="799.2"/>
    <n v="15184.8"/>
    <s v="COMPLETED"/>
    <n v="15984"/>
    <x v="1"/>
    <s v="URGENT"/>
  </r>
  <r>
    <s v="1020"/>
    <d v="2026-04-14T00:00:00"/>
    <s v="CUSTOMER 19"/>
    <x v="0"/>
    <s v="ELECTRONICS"/>
    <x v="6"/>
    <s v="AISHA"/>
    <n v="5"/>
    <n v="1889"/>
    <n v="10"/>
    <n v="944.5"/>
    <n v="8500.5"/>
    <s v="PENDING"/>
    <n v="9445"/>
    <x v="2"/>
    <s v="NEWLEAD"/>
  </r>
  <r>
    <s v="1021"/>
    <d v="2026-05-23T00:00:00"/>
    <s v="CUSTOMER 20"/>
    <x v="2"/>
    <s v="OFFICE SUPPLIES"/>
    <x v="5"/>
    <s v="NEHA"/>
    <n v="10"/>
    <n v="1883"/>
    <n v="0"/>
    <n v="0"/>
    <n v="18830"/>
    <s v="PENDING"/>
    <n v="18830"/>
    <x v="2"/>
    <s v="URGENT"/>
  </r>
  <r>
    <s v="1022"/>
    <d v="2026-02-28T00:00:00"/>
    <s v="CUSTOMER 21"/>
    <x v="0"/>
    <s v="FURNITURE"/>
    <x v="1"/>
    <s v="NEHA"/>
    <n v="3"/>
    <n v="3962"/>
    <n v="5"/>
    <n v="594.29999999999995"/>
    <n v="11291.7"/>
    <s v="PENDING"/>
    <n v="11886"/>
    <x v="2"/>
    <s v="URGENT"/>
  </r>
  <r>
    <s v="1023"/>
    <d v="2026-05-04T00:00:00"/>
    <s v="CUSTOMER 22"/>
    <x v="0"/>
    <s v="OFFICE SUPPLIES"/>
    <x v="5"/>
    <s v="NEHA"/>
    <n v="2"/>
    <n v="1153"/>
    <n v="0"/>
    <n v="0"/>
    <n v="2306"/>
    <s v="PENDING"/>
    <n v="2306"/>
    <x v="0"/>
    <s v="NEWLEAD"/>
  </r>
  <r>
    <s v="1024"/>
    <d v="2026-02-22T00:00:00"/>
    <s v="CUSTOMER 23"/>
    <x v="1"/>
    <s v="FURNITURE"/>
    <x v="1"/>
    <s v="RAHUL"/>
    <n v="6"/>
    <n v="2809"/>
    <n v="5"/>
    <n v="842.7"/>
    <n v="16011.3"/>
    <s v="COMPLETED"/>
    <n v="16854"/>
    <x v="0"/>
    <s v="REPEATCUSTOMER"/>
  </r>
  <r>
    <s v="1025"/>
    <d v="2026-04-17T00:00:00"/>
    <s v="CUSTOMER 24"/>
    <x v="1"/>
    <s v="ELECTRONICS"/>
    <x v="3"/>
    <s v="ARUN"/>
    <n v="4"/>
    <n v="2307"/>
    <n v="10"/>
    <n v="922.8"/>
    <n v="8305.2000000000007"/>
    <s v="PENDING"/>
    <n v="9228"/>
    <x v="0"/>
    <s v="URGENT"/>
  </r>
  <r>
    <s v="1026"/>
    <d v="2026-01-08T00:00:00"/>
    <s v="CUSTOMER 25"/>
    <x v="1"/>
    <s v="FURNITURE"/>
    <x v="2"/>
    <s v="AISHA"/>
    <n v="2"/>
    <n v="1874"/>
    <n v="0"/>
    <n v="0"/>
    <n v="3748"/>
    <s v="PENDING"/>
    <n v="3748"/>
    <x v="1"/>
    <s v="NO REMARKS"/>
  </r>
  <r>
    <s v="1027"/>
    <d v="2026-02-22T00:00:00"/>
    <s v="CUSTOMER 26"/>
    <x v="3"/>
    <s v="OFFICE SUPPLIES"/>
    <x v="0"/>
    <s v="AISHA"/>
    <n v="9"/>
    <n v="2591"/>
    <n v="10"/>
    <n v="2331.9"/>
    <n v="20987.1"/>
    <s v="PENDING"/>
    <n v="23319"/>
    <x v="2"/>
    <s v="NEWLEAD"/>
  </r>
  <r>
    <s v="1028"/>
    <d v="2026-05-11T00:00:00"/>
    <s v="CUSTOMER 27"/>
    <x v="4"/>
    <s v="ELECTRONICS"/>
    <x v="6"/>
    <s v="ARUN"/>
    <n v="10"/>
    <n v="2973"/>
    <n v="5"/>
    <n v="1486.5"/>
    <n v="28243.5"/>
    <s v="PENDING"/>
    <n v="29730"/>
    <x v="1"/>
    <s v="NEWLEAD"/>
  </r>
  <r>
    <s v="1029"/>
    <d v="2026-04-10T00:00:00"/>
    <s v="CUSTOMER 28"/>
    <x v="1"/>
    <s v="OFFICE SUPPLIES"/>
    <x v="0"/>
    <s v="ARUN"/>
    <n v="1"/>
    <n v="1713"/>
    <n v="0"/>
    <n v="0"/>
    <n v="1713"/>
    <s v="COMPLETED"/>
    <n v="1713"/>
    <x v="1"/>
    <s v="REPEATCUSTOMER"/>
  </r>
  <r>
    <s v="1030"/>
    <d v="2026-05-21T00:00:00"/>
    <s v="CUSTOMER 29"/>
    <x v="1"/>
    <s v="FURNITURE"/>
    <x v="2"/>
    <s v="RAHUL"/>
    <n v="2"/>
    <n v="4916"/>
    <n v="5"/>
    <n v="491.6"/>
    <n v="9340.4"/>
    <s v="COMPLETED"/>
    <n v="9832"/>
    <x v="0"/>
    <s v="NEWLEAD"/>
  </r>
  <r>
    <s v="1031"/>
    <d v="2026-02-08T00:00:00"/>
    <s v="CUSTOMER 30"/>
    <x v="2"/>
    <s v="FURNITURE"/>
    <x v="2"/>
    <s v="RAHUL"/>
    <n v="7"/>
    <n v="2683"/>
    <n v="10"/>
    <n v="1878.1"/>
    <n v="16902.900000000001"/>
    <s v="PENDING"/>
    <n v="18781"/>
    <x v="0"/>
    <s v="NO REMARKS"/>
  </r>
  <r>
    <s v="1032"/>
    <d v="2026-04-10T00:00:00"/>
    <s v="CUSTOMER 31"/>
    <x v="3"/>
    <s v="OFFICE SUPPLIES"/>
    <x v="5"/>
    <s v="ARUN"/>
    <n v="10"/>
    <n v="4144"/>
    <n v="15"/>
    <n v="6216"/>
    <n v="35224"/>
    <s v="PENDING"/>
    <n v="41440"/>
    <x v="2"/>
    <s v="URGENT"/>
  </r>
  <r>
    <s v="1033"/>
    <d v="2026-04-21T00:00:00"/>
    <s v="CUSTOMER 32"/>
    <x v="3"/>
    <s v="ELECTRONICS"/>
    <x v="4"/>
    <s v="NEHA"/>
    <n v="7"/>
    <n v="4072"/>
    <n v="15"/>
    <n v="4275.6000000000004"/>
    <n v="24228.400000000001"/>
    <s v="PENDING"/>
    <n v="28504"/>
    <x v="0"/>
    <s v="NO REMARKS"/>
  </r>
  <r>
    <s v="1034"/>
    <d v="2026-02-04T00:00:00"/>
    <s v="CUSTOMER 33"/>
    <x v="1"/>
    <s v="FURNITURE"/>
    <x v="2"/>
    <s v="RAHUL"/>
    <n v="9"/>
    <n v="2346"/>
    <n v="15"/>
    <n v="3167.1"/>
    <n v="17946.900000000001"/>
    <s v="COMPLETED"/>
    <n v="21114"/>
    <x v="1"/>
    <s v="REPEATCUSTOMER"/>
  </r>
  <r>
    <s v="1035"/>
    <d v="2026-01-23T00:00:00"/>
    <s v="CUSTOMER 34"/>
    <x v="3"/>
    <s v="OFFICE SUPPLIES"/>
    <x v="5"/>
    <s v="RAHUL"/>
    <n v="2"/>
    <n v="546"/>
    <n v="5"/>
    <n v="54.6"/>
    <n v="1037.4000000000001"/>
    <s v="PENDING"/>
    <n v="1092"/>
    <x v="1"/>
    <s v="REPEATCUSTOMER"/>
  </r>
  <r>
    <s v="1036"/>
    <d v="2026-04-01T00:00:00"/>
    <s v="CUSTOMER 35"/>
    <x v="2"/>
    <s v="ELECTRONICS"/>
    <x v="6"/>
    <s v="ARUN"/>
    <n v="10"/>
    <n v="705"/>
    <n v="0"/>
    <n v="0"/>
    <n v="7050"/>
    <s v="COMPLETED"/>
    <n v="7050"/>
    <x v="1"/>
    <s v="URGENT"/>
  </r>
  <r>
    <s v="1037"/>
    <d v="2026-04-29T00:00:00"/>
    <s v="CUSTOMER 36"/>
    <x v="2"/>
    <s v="OFFICE SUPPLIES"/>
    <x v="0"/>
    <s v="AISHA"/>
    <n v="4"/>
    <n v="2514"/>
    <n v="0"/>
    <n v="0"/>
    <n v="10056"/>
    <s v="COMPLETED"/>
    <n v="10056"/>
    <x v="0"/>
    <s v="NEWLEAD"/>
  </r>
  <r>
    <s v="1038"/>
    <d v="2026-06-09T00:00:00"/>
    <s v="CUSTOMER 37"/>
    <x v="4"/>
    <s v="ELECTRONICS"/>
    <x v="6"/>
    <s v="NEHA"/>
    <n v="6"/>
    <n v="1188"/>
    <n v="0"/>
    <n v="0"/>
    <n v="7128"/>
    <s v="COMPLETED"/>
    <n v="7128"/>
    <x v="2"/>
    <s v="URGENT"/>
  </r>
  <r>
    <s v="1039"/>
    <d v="2026-03-06T00:00:00"/>
    <s v="CUSTOMER 38"/>
    <x v="4"/>
    <s v="OFFICE SUPPLIES"/>
    <x v="5"/>
    <s v="ARUN"/>
    <n v="6"/>
    <n v="4718"/>
    <n v="5"/>
    <n v="1415.4"/>
    <n v="26892.6"/>
    <s v="COMPLETED"/>
    <n v="28308"/>
    <x v="2"/>
    <s v="URGENT"/>
  </r>
  <r>
    <s v="1040"/>
    <d v="2026-06-08T00:00:00"/>
    <s v="CUSTOMER 39"/>
    <x v="2"/>
    <s v="ELECTRONICS"/>
    <x v="3"/>
    <s v="ARUN"/>
    <n v="8"/>
    <n v="565"/>
    <n v="15"/>
    <n v="678"/>
    <n v="3842"/>
    <s v="COMPLETED"/>
    <n v="4520"/>
    <x v="2"/>
    <s v="URGENT"/>
  </r>
  <r>
    <s v="1041"/>
    <d v="2026-02-10T00:00:00"/>
    <s v="CUSTOMER 40"/>
    <x v="2"/>
    <s v="ELECTRONICS"/>
    <x v="3"/>
    <s v="AISHA"/>
    <n v="3"/>
    <n v="4102"/>
    <n v="5"/>
    <n v="615.29999999999995"/>
    <n v="11690.7"/>
    <s v="COMPLETED"/>
    <n v="12306"/>
    <x v="0"/>
    <s v="REPEATCUSTOMER"/>
  </r>
  <r>
    <s v="1042"/>
    <d v="2026-01-30T00:00:00"/>
    <s v="CUSTOMER 41"/>
    <x v="1"/>
    <s v="OFFICE SUPPLIES"/>
    <x v="5"/>
    <s v="AISHA"/>
    <n v="4"/>
    <n v="713"/>
    <n v="15"/>
    <n v="427.8"/>
    <n v="2424.1999999999998"/>
    <s v="PENDING"/>
    <n v="2852"/>
    <x v="0"/>
    <s v="NEWLEAD"/>
  </r>
  <r>
    <s v="1043"/>
    <d v="2026-05-14T00:00:00"/>
    <s v="CUSTOMER 42"/>
    <x v="0"/>
    <s v="OFFICE SUPPLIES"/>
    <x v="5"/>
    <s v="NEHA"/>
    <n v="5"/>
    <n v="2283"/>
    <n v="15"/>
    <n v="1712.25"/>
    <n v="9702.75"/>
    <s v="COMPLETED"/>
    <n v="11415"/>
    <x v="1"/>
    <s v="URGENT"/>
  </r>
  <r>
    <s v="1044"/>
    <d v="2026-02-25T00:00:00"/>
    <s v="CUSTOMER 43"/>
    <x v="0"/>
    <s v="ELECTRONICS"/>
    <x v="4"/>
    <s v="RAHUL"/>
    <n v="8"/>
    <n v="1957"/>
    <n v="10"/>
    <n v="1565.6"/>
    <n v="14090.4"/>
    <s v="COMPLETED"/>
    <n v="15656"/>
    <x v="0"/>
    <s v="REPEATCUSTOMER"/>
  </r>
  <r>
    <s v="1045"/>
    <d v="2026-01-24T00:00:00"/>
    <s v="CUSTOMER 44"/>
    <x v="4"/>
    <s v="FURNITURE"/>
    <x v="1"/>
    <s v="RAHUL"/>
    <n v="10"/>
    <n v="2544"/>
    <n v="5"/>
    <n v="1272"/>
    <n v="24168"/>
    <s v="COMPLETED"/>
    <n v="25440"/>
    <x v="0"/>
    <s v="NO REMARKS"/>
  </r>
  <r>
    <s v="1046"/>
    <d v="2026-06-07T00:00:00"/>
    <s v="CUSTOMER 45"/>
    <x v="2"/>
    <s v="FURNITURE"/>
    <x v="1"/>
    <s v="ARUN"/>
    <n v="1"/>
    <n v="353"/>
    <n v="15"/>
    <n v="52.95"/>
    <n v="300.05"/>
    <s v="COMPLETED"/>
    <n v="353"/>
    <x v="1"/>
    <s v="URGENT"/>
  </r>
  <r>
    <s v="1047"/>
    <d v="2026-05-20T00:00:00"/>
    <s v="CUSTOMER 46"/>
    <x v="3"/>
    <s v="FURNITURE"/>
    <x v="2"/>
    <s v="RAHUL"/>
    <n v="9"/>
    <n v="4928"/>
    <n v="0"/>
    <n v="0"/>
    <n v="44352"/>
    <s v="PENDING"/>
    <n v="44352"/>
    <x v="0"/>
    <s v="URGENT"/>
  </r>
  <r>
    <s v="1048"/>
    <d v="2026-02-25T00:00:00"/>
    <s v="CUSTOMER 47"/>
    <x v="2"/>
    <s v="OFFICE SUPPLIES"/>
    <x v="0"/>
    <s v="RAHUL"/>
    <n v="9"/>
    <n v="1271"/>
    <n v="15"/>
    <n v="1715.85"/>
    <n v="9723.15"/>
    <s v="PENDING"/>
    <n v="11439"/>
    <x v="0"/>
    <s v="NEWLEAD"/>
  </r>
  <r>
    <s v="1049"/>
    <d v="2026-01-30T00:00:00"/>
    <s v="CUSTOMER 48"/>
    <x v="4"/>
    <s v="OFFICE SUPPLIES"/>
    <x v="0"/>
    <s v="ARUN"/>
    <n v="6"/>
    <n v="4683"/>
    <n v="15"/>
    <n v="4214.7"/>
    <n v="23883.3"/>
    <s v="COMPLETED"/>
    <n v="28098"/>
    <x v="1"/>
    <s v="NO REMARKS"/>
  </r>
  <r>
    <s v="1050"/>
    <d v="2026-06-16T00:00:00"/>
    <s v="CUSTOMER 49"/>
    <x v="2"/>
    <s v="FURNITURE"/>
    <x v="1"/>
    <s v="RAHUL"/>
    <n v="7"/>
    <n v="2360"/>
    <n v="10"/>
    <n v="1652"/>
    <n v="14868"/>
    <s v="PENDING"/>
    <n v="16520"/>
    <x v="1"/>
    <s v="NEWLEAD"/>
  </r>
  <r>
    <s v="1051"/>
    <d v="2026-02-01T00:00:00"/>
    <s v="CUSTOMER 50"/>
    <x v="4"/>
    <s v="FURNITURE"/>
    <x v="1"/>
    <s v="RAHUL"/>
    <n v="10"/>
    <n v="385"/>
    <n v="0"/>
    <n v="0"/>
    <n v="3850"/>
    <s v="COMPLETED"/>
    <n v="3850"/>
    <x v="1"/>
    <s v="NO REMARKS"/>
  </r>
  <r>
    <s v="1052"/>
    <d v="2026-03-29T00:00:00"/>
    <s v="CUSTOMER 51"/>
    <x v="4"/>
    <s v="FURNITURE"/>
    <x v="1"/>
    <s v="AISHA"/>
    <n v="5"/>
    <n v="1649"/>
    <n v="5"/>
    <n v="412.25"/>
    <n v="7832.75"/>
    <s v="PENDING"/>
    <n v="8245"/>
    <x v="1"/>
    <s v="NEWLEAD"/>
  </r>
  <r>
    <s v="1053"/>
    <d v="2026-01-11T00:00:00"/>
    <s v="CUSTOMER 52"/>
    <x v="1"/>
    <s v="ELECTRONICS"/>
    <x v="3"/>
    <s v="AISHA"/>
    <n v="7"/>
    <n v="4810"/>
    <n v="0"/>
    <n v="0"/>
    <n v="33670"/>
    <s v="PENDING"/>
    <n v="33670"/>
    <x v="2"/>
    <s v="NEWLEAD"/>
  </r>
  <r>
    <s v="1054"/>
    <d v="2026-05-04T00:00:00"/>
    <s v="CUSTOMER 53"/>
    <x v="1"/>
    <s v="FURNITURE"/>
    <x v="2"/>
    <s v="NEHA"/>
    <n v="7"/>
    <n v="1749"/>
    <n v="15"/>
    <n v="1836.45"/>
    <n v="10406.549999999999"/>
    <s v="PENDING"/>
    <n v="12243"/>
    <x v="0"/>
    <s v="NEWLEAD"/>
  </r>
  <r>
    <s v="1055"/>
    <d v="2026-06-30T00:00:00"/>
    <s v="CUSTOMER 54"/>
    <x v="4"/>
    <s v="OFFICE SUPPLIES"/>
    <x v="0"/>
    <s v="RAHUL"/>
    <n v="8"/>
    <n v="1461"/>
    <n v="10"/>
    <n v="1168.8"/>
    <n v="10519.2"/>
    <s v="PENDING"/>
    <n v="11688"/>
    <x v="2"/>
    <s v="NO REMARKS"/>
  </r>
  <r>
    <s v="1056"/>
    <d v="2026-02-13T00:00:00"/>
    <s v="CUSTOMER 55"/>
    <x v="3"/>
    <s v="FURNITURE"/>
    <x v="2"/>
    <s v="AISHA"/>
    <n v="1"/>
    <n v="941"/>
    <n v="0"/>
    <n v="0"/>
    <n v="941"/>
    <s v="PENDING"/>
    <n v="941"/>
    <x v="0"/>
    <s v="NO REMARKS"/>
  </r>
  <r>
    <s v="1057"/>
    <d v="2026-05-21T00:00:00"/>
    <s v="CUSTOMER 56"/>
    <x v="4"/>
    <s v="FURNITURE"/>
    <x v="1"/>
    <s v="AISHA"/>
    <n v="3"/>
    <n v="1245"/>
    <n v="0"/>
    <n v="0"/>
    <n v="3735"/>
    <s v="PENDING"/>
    <n v="3735"/>
    <x v="2"/>
    <s v="NO REMARKS"/>
  </r>
  <r>
    <s v="1058"/>
    <d v="2026-03-15T00:00:00"/>
    <s v="CUSTOMER 57"/>
    <x v="4"/>
    <s v="FURNITURE"/>
    <x v="2"/>
    <s v="RAHUL"/>
    <n v="5"/>
    <n v="3559"/>
    <n v="5"/>
    <n v="889.75"/>
    <n v="16905.25"/>
    <s v="COMPLETED"/>
    <n v="17795"/>
    <x v="2"/>
    <s v="REPEATCUSTOMER"/>
  </r>
  <r>
    <s v="1059"/>
    <d v="2026-02-28T00:00:00"/>
    <s v="CUSTOMER 58"/>
    <x v="1"/>
    <s v="OFFICE SUPPLIES"/>
    <x v="0"/>
    <s v="RAHUL"/>
    <n v="4"/>
    <n v="1204"/>
    <n v="10"/>
    <n v="481.6"/>
    <n v="4334.3999999999996"/>
    <s v="COMPLETED"/>
    <n v="4816"/>
    <x v="1"/>
    <s v="NEWLEAD"/>
  </r>
  <r>
    <s v="1060"/>
    <d v="2026-01-23T00:00:00"/>
    <s v="CUSTOMER 59"/>
    <x v="2"/>
    <s v="OFFICE SUPPLIES"/>
    <x v="0"/>
    <s v="NEHA"/>
    <n v="10"/>
    <n v="435"/>
    <n v="10"/>
    <n v="435"/>
    <n v="3915"/>
    <s v="PENDING"/>
    <n v="4350"/>
    <x v="0"/>
    <s v="NEWLEAD"/>
  </r>
  <r>
    <s v="1061"/>
    <d v="2026-02-21T00:00:00"/>
    <s v="CUSTOMER 60"/>
    <x v="1"/>
    <s v="FURNITURE"/>
    <x v="1"/>
    <s v="RAHUL"/>
    <n v="4"/>
    <n v="4428"/>
    <n v="0"/>
    <n v="0"/>
    <n v="17712"/>
    <s v="COMPLETED"/>
    <n v="17712"/>
    <x v="2"/>
    <s v="NO REMARKS"/>
  </r>
  <r>
    <s v="1062"/>
    <d v="2026-02-14T00:00:00"/>
    <s v="CUSTOMER 61"/>
    <x v="3"/>
    <s v="OFFICE SUPPLIES"/>
    <x v="5"/>
    <s v="ARUN"/>
    <n v="4"/>
    <n v="2146"/>
    <n v="5"/>
    <n v="429.2"/>
    <n v="8154.8"/>
    <s v="COMPLETED"/>
    <n v="8584"/>
    <x v="2"/>
    <s v="NEWLEAD"/>
  </r>
  <r>
    <s v="1063"/>
    <d v="2026-03-11T00:00:00"/>
    <s v="CUSTOMER 62"/>
    <x v="1"/>
    <s v="ELECTRONICS"/>
    <x v="3"/>
    <s v="NEHA"/>
    <n v="4"/>
    <n v="1168"/>
    <n v="15"/>
    <n v="700.8"/>
    <n v="3971.2"/>
    <s v="COMPLETED"/>
    <n v="4672"/>
    <x v="1"/>
    <s v="NO REMARKS"/>
  </r>
  <r>
    <s v="1064"/>
    <d v="2026-02-06T00:00:00"/>
    <s v="CUSTOMER 63"/>
    <x v="1"/>
    <s v="ELECTRONICS"/>
    <x v="4"/>
    <s v="RAHUL"/>
    <n v="6"/>
    <n v="4798"/>
    <n v="10"/>
    <n v="2878.8"/>
    <n v="25909.200000000001"/>
    <s v="COMPLETED"/>
    <n v="28788"/>
    <x v="2"/>
    <s v="REPEATCUSTOMER"/>
  </r>
  <r>
    <s v="1065"/>
    <d v="2026-03-01T00:00:00"/>
    <s v="CUSTOMER 64"/>
    <x v="4"/>
    <s v="ELECTRONICS"/>
    <x v="6"/>
    <s v="NEHA"/>
    <n v="3"/>
    <n v="2000"/>
    <n v="10"/>
    <n v="600"/>
    <n v="5400"/>
    <s v="COMPLETED"/>
    <n v="6000"/>
    <x v="2"/>
    <s v="NO REMARKS"/>
  </r>
  <r>
    <s v="1066"/>
    <d v="2026-04-03T00:00:00"/>
    <s v="CUSTOMER 65"/>
    <x v="1"/>
    <s v="OFFICE SUPPLIES"/>
    <x v="5"/>
    <s v="ARUN"/>
    <n v="4"/>
    <n v="3282"/>
    <n v="15"/>
    <n v="1969.2"/>
    <n v="11158.8"/>
    <s v="COMPLETED"/>
    <n v="13128"/>
    <x v="1"/>
    <s v="NEWLEAD"/>
  </r>
  <r>
    <s v="1067"/>
    <d v="2026-02-14T00:00:00"/>
    <s v="CUSTOMER 66"/>
    <x v="3"/>
    <s v="OFFICE SUPPLIES"/>
    <x v="5"/>
    <s v="AISHA"/>
    <n v="6"/>
    <n v="584"/>
    <n v="15"/>
    <n v="525.6"/>
    <n v="2978.4"/>
    <s v="PENDING"/>
    <n v="3504"/>
    <x v="2"/>
    <s v="URGENT"/>
  </r>
  <r>
    <s v="1068"/>
    <d v="2026-01-10T00:00:00"/>
    <s v="CUSTOMER 67"/>
    <x v="3"/>
    <s v="FURNITURE"/>
    <x v="1"/>
    <s v="AISHA"/>
    <n v="2"/>
    <n v="1798"/>
    <n v="10"/>
    <n v="359.6"/>
    <n v="3236.4"/>
    <s v="PENDING"/>
    <n v="3596"/>
    <x v="1"/>
    <s v="NO REMARKS"/>
  </r>
  <r>
    <s v="1069"/>
    <d v="2026-02-08T00:00:00"/>
    <s v="CUSTOMER 68"/>
    <x v="0"/>
    <s v="OFFICE SUPPLIES"/>
    <x v="0"/>
    <s v="AISHA"/>
    <n v="6"/>
    <n v="3099"/>
    <n v="5"/>
    <n v="929.7"/>
    <n v="17664.3"/>
    <s v="COMPLETED"/>
    <n v="18594"/>
    <x v="2"/>
    <s v="REPEATCUSTOMER"/>
  </r>
  <r>
    <s v="1070"/>
    <d v="2026-05-19T00:00:00"/>
    <s v="CUSTOMER 69"/>
    <x v="1"/>
    <s v="OFFICE SUPPLIES"/>
    <x v="5"/>
    <s v="RAHUL"/>
    <n v="3"/>
    <n v="1879"/>
    <n v="10"/>
    <n v="563.70000000000005"/>
    <n v="5073.3"/>
    <s v="COMPLETED"/>
    <n v="5637"/>
    <x v="1"/>
    <s v="REPEATCUSTOMER"/>
  </r>
  <r>
    <s v="1071"/>
    <d v="2026-01-07T00:00:00"/>
    <s v="CUSTOMER 70"/>
    <x v="0"/>
    <s v="OFFICE SUPPLIES"/>
    <x v="0"/>
    <s v="ARUN"/>
    <n v="9"/>
    <n v="930"/>
    <n v="0"/>
    <n v="0"/>
    <n v="8370"/>
    <s v="COMPLETED"/>
    <n v="8370"/>
    <x v="1"/>
    <s v="REPEATCUSTOMER"/>
  </r>
  <r>
    <s v="1072"/>
    <d v="2026-06-08T00:00:00"/>
    <s v="CUSTOMER 71"/>
    <x v="4"/>
    <s v="FURNITURE"/>
    <x v="2"/>
    <s v="AISHA"/>
    <n v="6"/>
    <n v="4713"/>
    <n v="0"/>
    <n v="0"/>
    <n v="28278"/>
    <s v="COMPLETED"/>
    <n v="28278"/>
    <x v="2"/>
    <s v="REPEATCUSTOMER"/>
  </r>
  <r>
    <s v="1073"/>
    <d v="2026-06-13T00:00:00"/>
    <s v="CUSTOMER 72"/>
    <x v="1"/>
    <s v="FURNITURE"/>
    <x v="1"/>
    <s v="AISHA"/>
    <n v="2"/>
    <n v="3055"/>
    <n v="5"/>
    <n v="305.5"/>
    <n v="5804.5"/>
    <s v="PENDING"/>
    <n v="6110"/>
    <x v="1"/>
    <s v="URGENT"/>
  </r>
  <r>
    <s v="1074"/>
    <d v="2026-06-07T00:00:00"/>
    <s v="CUSTOMER 73"/>
    <x v="3"/>
    <s v="OFFICE SUPPLIES"/>
    <x v="0"/>
    <s v="RAHUL"/>
    <n v="5"/>
    <n v="993"/>
    <n v="5"/>
    <n v="248.25"/>
    <n v="4716.75"/>
    <s v="PENDING"/>
    <n v="4965"/>
    <x v="2"/>
    <s v="NEWLEAD"/>
  </r>
  <r>
    <s v="1075"/>
    <d v="2026-03-29T00:00:00"/>
    <s v="CUSTOMER 74"/>
    <x v="0"/>
    <s v="FURNITURE"/>
    <x v="1"/>
    <s v="AISHA"/>
    <n v="2"/>
    <n v="4128"/>
    <n v="0"/>
    <n v="0"/>
    <n v="8256"/>
    <s v="PENDING"/>
    <n v="8256"/>
    <x v="2"/>
    <s v="NO REMARKS"/>
  </r>
  <r>
    <s v="1076"/>
    <d v="2026-06-20T00:00:00"/>
    <s v="CUSTOMER 75"/>
    <x v="2"/>
    <s v="OFFICE SUPPLIES"/>
    <x v="0"/>
    <s v="RAHUL"/>
    <n v="4"/>
    <n v="4162"/>
    <n v="10"/>
    <n v="1664.8"/>
    <n v="14983.2"/>
    <s v="PENDING"/>
    <n v="16648"/>
    <x v="0"/>
    <s v="URGENT"/>
  </r>
  <r>
    <s v="1077"/>
    <d v="2026-03-14T00:00:00"/>
    <s v="CUSTOMER 76"/>
    <x v="1"/>
    <s v="OFFICE SUPPLIES"/>
    <x v="5"/>
    <s v="NEHA"/>
    <n v="8"/>
    <n v="3138"/>
    <n v="0"/>
    <n v="0"/>
    <n v="25104"/>
    <s v="PENDING"/>
    <n v="25104"/>
    <x v="1"/>
    <s v="NEWLEAD"/>
  </r>
  <r>
    <s v="1078"/>
    <d v="2026-06-21T00:00:00"/>
    <s v="CUSTOMER 77"/>
    <x v="1"/>
    <s v="FURNITURE"/>
    <x v="1"/>
    <s v="NEHA"/>
    <n v="3"/>
    <n v="1393"/>
    <n v="5"/>
    <n v="208.95"/>
    <n v="3970.05"/>
    <s v="COMPLETED"/>
    <n v="4179"/>
    <x v="1"/>
    <s v="NEWLEAD"/>
  </r>
  <r>
    <s v="1079"/>
    <d v="2026-02-20T00:00:00"/>
    <s v="CUSTOMER 78"/>
    <x v="0"/>
    <s v="FURNITURE"/>
    <x v="1"/>
    <s v="RAHUL"/>
    <n v="9"/>
    <n v="4425"/>
    <n v="0"/>
    <n v="0"/>
    <n v="39825"/>
    <s v="COMPLETED"/>
    <n v="39825"/>
    <x v="0"/>
    <s v="NEWLEAD"/>
  </r>
  <r>
    <s v="1080"/>
    <d v="2026-04-19T00:00:00"/>
    <s v="CUSTOMER 79"/>
    <x v="4"/>
    <s v="ELECTRONICS"/>
    <x v="4"/>
    <s v="AISHA"/>
    <n v="4"/>
    <n v="4656"/>
    <n v="0"/>
    <n v="0"/>
    <n v="18624"/>
    <s v="PENDING"/>
    <n v="18624"/>
    <x v="0"/>
    <s v="NEWLEAD"/>
  </r>
  <r>
    <s v="1081"/>
    <d v="2026-01-13T00:00:00"/>
    <s v="CUSTOMER 80"/>
    <x v="3"/>
    <s v="ELECTRONICS"/>
    <x v="4"/>
    <s v="AISHA"/>
    <n v="1"/>
    <n v="1513"/>
    <n v="0"/>
    <n v="0"/>
    <n v="1513"/>
    <s v="PENDING"/>
    <n v="1513"/>
    <x v="1"/>
    <s v="REPEATCUSTOMER"/>
  </r>
  <r>
    <s v="1082"/>
    <d v="2026-03-30T00:00:00"/>
    <s v="CUSTOMER 81"/>
    <x v="2"/>
    <s v="FURNITURE"/>
    <x v="1"/>
    <s v="AISHA"/>
    <n v="10"/>
    <n v="2508"/>
    <n v="15"/>
    <n v="3762"/>
    <n v="21318"/>
    <s v="COMPLETED"/>
    <n v="25080"/>
    <x v="0"/>
    <s v="NEWLEAD"/>
  </r>
  <r>
    <s v="1083"/>
    <d v="2026-03-04T00:00:00"/>
    <s v="CUSTOMER 82"/>
    <x v="1"/>
    <s v="ELECTRONICS"/>
    <x v="3"/>
    <s v="ARUN"/>
    <n v="2"/>
    <n v="2555"/>
    <n v="0"/>
    <n v="0"/>
    <n v="5110"/>
    <s v="PENDING"/>
    <n v="5110"/>
    <x v="0"/>
    <s v="NO REMARKS"/>
  </r>
  <r>
    <s v="1084"/>
    <d v="2026-02-25T00:00:00"/>
    <s v="CUSTOMER 83"/>
    <x v="4"/>
    <s v="ELECTRONICS"/>
    <x v="3"/>
    <s v="NEHA"/>
    <n v="6"/>
    <n v="3179"/>
    <n v="5"/>
    <n v="953.7"/>
    <n v="18120.3"/>
    <s v="PENDING"/>
    <n v="19074"/>
    <x v="1"/>
    <s v="NEWLEAD"/>
  </r>
  <r>
    <s v="1085"/>
    <d v="2026-03-01T00:00:00"/>
    <s v="CUSTOMER 84"/>
    <x v="3"/>
    <s v="OFFICE SUPPLIES"/>
    <x v="5"/>
    <s v="NEHA"/>
    <n v="3"/>
    <n v="2462"/>
    <n v="5"/>
    <n v="369.3"/>
    <n v="7016.7"/>
    <s v="PENDING"/>
    <n v="7386"/>
    <x v="2"/>
    <s v="URGENT"/>
  </r>
  <r>
    <s v="1086"/>
    <d v="2026-04-08T00:00:00"/>
    <s v="CUSTOMER 85"/>
    <x v="1"/>
    <s v="ELECTRONICS"/>
    <x v="3"/>
    <s v="ARUN"/>
    <n v="2"/>
    <n v="4560"/>
    <n v="0"/>
    <n v="0"/>
    <n v="9120"/>
    <s v="COMPLETED"/>
    <n v="9120"/>
    <x v="1"/>
    <s v="NEWLEAD"/>
  </r>
  <r>
    <s v="1087"/>
    <d v="2026-01-06T00:00:00"/>
    <s v="CUSTOMER 86"/>
    <x v="0"/>
    <s v="ELECTRONICS"/>
    <x v="6"/>
    <s v="RAHUL"/>
    <n v="6"/>
    <n v="3102"/>
    <n v="5"/>
    <n v="930.6"/>
    <n v="17681.400000000001"/>
    <s v="PENDING"/>
    <n v="18612"/>
    <x v="1"/>
    <s v="NEWLEAD"/>
  </r>
  <r>
    <s v="1088"/>
    <d v="2026-03-13T00:00:00"/>
    <s v="CUSTOMER 87"/>
    <x v="3"/>
    <s v="FURNITURE"/>
    <x v="2"/>
    <s v="RAHUL"/>
    <n v="2"/>
    <n v="3298"/>
    <n v="0"/>
    <n v="0"/>
    <n v="6596"/>
    <s v="COMPLETED"/>
    <n v="6596"/>
    <x v="1"/>
    <s v="NO REMARKS"/>
  </r>
  <r>
    <s v="1089"/>
    <d v="2026-01-27T00:00:00"/>
    <s v="CUSTOMER 88"/>
    <x v="3"/>
    <s v="OFFICE SUPPLIES"/>
    <x v="0"/>
    <s v="RAHUL"/>
    <n v="6"/>
    <n v="2909"/>
    <n v="15"/>
    <n v="2618.1"/>
    <n v="14835.9"/>
    <s v="COMPLETED"/>
    <n v="17454"/>
    <x v="0"/>
    <s v="REPEATCUSTOMER"/>
  </r>
  <r>
    <s v="1090"/>
    <d v="2026-03-07T00:00:00"/>
    <s v="CUSTOMER 89"/>
    <x v="2"/>
    <s v="ELECTRONICS"/>
    <x v="6"/>
    <s v="NEHA"/>
    <n v="1"/>
    <n v="1957"/>
    <n v="10"/>
    <n v="195.7"/>
    <n v="1761.3"/>
    <s v="PENDING"/>
    <n v="1957"/>
    <x v="0"/>
    <s v="URGENT"/>
  </r>
  <r>
    <s v="1091"/>
    <d v="2026-01-03T00:00:00"/>
    <s v="CUSTOMER 90"/>
    <x v="0"/>
    <s v="OFFICE SUPPLIES"/>
    <x v="0"/>
    <s v="AISHA"/>
    <n v="2"/>
    <n v="1703"/>
    <n v="10"/>
    <n v="340.6"/>
    <n v="3065.4"/>
    <s v="PENDING"/>
    <n v="3406"/>
    <x v="0"/>
    <s v="NO REMARKS"/>
  </r>
  <r>
    <s v="1092"/>
    <d v="2026-04-30T00:00:00"/>
    <s v="CUSTOMER 91"/>
    <x v="0"/>
    <s v="OFFICE SUPPLIES"/>
    <x v="0"/>
    <s v="RAHUL"/>
    <n v="7"/>
    <n v="1418"/>
    <n v="5"/>
    <n v="496.3"/>
    <n v="9429.7000000000007"/>
    <s v="PENDING"/>
    <n v="9926"/>
    <x v="2"/>
    <s v="NO REMARKS"/>
  </r>
  <r>
    <s v="1093"/>
    <d v="2026-04-10T00:00:00"/>
    <s v="CUSTOMER 92"/>
    <x v="3"/>
    <s v="OFFICE SUPPLIES"/>
    <x v="5"/>
    <s v="AISHA"/>
    <n v="5"/>
    <n v="4271"/>
    <n v="0"/>
    <n v="0"/>
    <n v="21355"/>
    <s v="PENDING"/>
    <n v="21355"/>
    <x v="1"/>
    <s v="URGENT"/>
  </r>
  <r>
    <s v="1094"/>
    <d v="2026-05-06T00:00:00"/>
    <s v="CUSTOMER 93"/>
    <x v="3"/>
    <s v="ELECTRONICS"/>
    <x v="3"/>
    <s v="AISHA"/>
    <n v="1"/>
    <n v="666"/>
    <n v="15"/>
    <n v="99.9"/>
    <n v="566.1"/>
    <s v="PENDING"/>
    <n v="666"/>
    <x v="1"/>
    <s v="REPEATCUSTOMER"/>
  </r>
  <r>
    <s v="1095"/>
    <d v="2026-04-12T00:00:00"/>
    <s v="CUSTOMER 94"/>
    <x v="0"/>
    <s v="FURNITURE"/>
    <x v="1"/>
    <s v="RAHUL"/>
    <n v="6"/>
    <n v="2059"/>
    <n v="5"/>
    <n v="617.70000000000005"/>
    <n v="11736.3"/>
    <s v="COMPLETED"/>
    <n v="12354"/>
    <x v="1"/>
    <s v="REPEATCUSTOMER"/>
  </r>
  <r>
    <s v="1096"/>
    <d v="2026-04-26T00:00:00"/>
    <s v="CUSTOMER 95"/>
    <x v="4"/>
    <s v="OFFICE SUPPLIES"/>
    <x v="0"/>
    <s v="AISHA"/>
    <n v="4"/>
    <n v="1564"/>
    <n v="0"/>
    <n v="0"/>
    <n v="6256"/>
    <s v="COMPLETED"/>
    <n v="6256"/>
    <x v="2"/>
    <s v="URGENT"/>
  </r>
  <r>
    <s v="1097"/>
    <d v="2026-05-24T00:00:00"/>
    <s v="CUSTOMER 96"/>
    <x v="0"/>
    <s v="OFFICE SUPPLIES"/>
    <x v="0"/>
    <s v="ARUN"/>
    <n v="10"/>
    <n v="1447"/>
    <n v="5"/>
    <n v="723.5"/>
    <n v="13746.5"/>
    <s v="COMPLETED"/>
    <n v="14470"/>
    <x v="2"/>
    <s v="REPEATCUSTOMER"/>
  </r>
  <r>
    <s v="1098"/>
    <d v="2026-03-13T00:00:00"/>
    <s v="CUSTOMER 97"/>
    <x v="2"/>
    <s v="OFFICE SUPPLIES"/>
    <x v="5"/>
    <s v="ARUN"/>
    <n v="7"/>
    <n v="3739"/>
    <n v="0"/>
    <n v="0"/>
    <n v="26173"/>
    <s v="PENDING"/>
    <n v="26173"/>
    <x v="1"/>
    <s v="REPEATCUSTOMER"/>
  </r>
  <r>
    <s v="1099"/>
    <d v="2026-02-19T00:00:00"/>
    <s v="CUSTOMER 98"/>
    <x v="2"/>
    <s v="FURNITURE"/>
    <x v="1"/>
    <s v="RAHUL"/>
    <n v="1"/>
    <n v="4096"/>
    <n v="10"/>
    <n v="409.6"/>
    <n v="3686.4"/>
    <s v="PENDING"/>
    <n v="4096"/>
    <x v="1"/>
    <s v="NEWLEAD"/>
  </r>
  <r>
    <s v="1100"/>
    <d v="2026-02-06T00:00:00"/>
    <s v="CUSTOMER 99"/>
    <x v="0"/>
    <s v="FURNITURE"/>
    <x v="1"/>
    <s v="ARUN"/>
    <n v="8"/>
    <n v="3693"/>
    <n v="10"/>
    <n v="2954.4"/>
    <n v="26589.599999999999"/>
    <s v="COMPLETED"/>
    <n v="29544"/>
    <x v="0"/>
    <s v="URGENT"/>
  </r>
  <r>
    <s v="1101"/>
    <d v="2026-05-09T00:00:00"/>
    <s v="CUSTOMER 100"/>
    <x v="2"/>
    <s v="OFFICE SUPPLIES"/>
    <x v="0"/>
    <s v="ARUN"/>
    <n v="1"/>
    <n v="3604"/>
    <n v="10"/>
    <n v="360.4"/>
    <n v="3243.6"/>
    <s v="PENDING"/>
    <n v="3604"/>
    <x v="1"/>
    <s v="NO REMARK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36F23-AC42-4D12-8E11-7912941EEB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V4:AB9" firstHeaderRow="1" firstDataRow="2" firstDataCol="1"/>
  <pivotFields count="16">
    <pivotField showAll="0"/>
    <pivotField numFmtId="14" showAll="0"/>
    <pivotField showAll="0"/>
    <pivotField axis="axisCol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13" baseField="14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511AE-B95F-49BD-A2A4-790BB194652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V29:W35" firstHeaderRow="1" firstDataRow="1" firstDataCol="1"/>
  <pivotFields count="16">
    <pivotField showAll="0"/>
    <pivotField numFmtId="14"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" fld="5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47335-5EF5-4D99-A1BB-867E0B746EE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V21:W27" firstHeaderRow="1" firstDataRow="1" firstDataCol="1"/>
  <pivotFields count="16">
    <pivotField showAll="0"/>
    <pivotField numFmtId="14"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35938-18A0-4017-90EB-DFB9712A8A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V11:W1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1"/>
        <item x="2"/>
        <item x="3"/>
        <item x="6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fter Discount Amount" fld="1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61EE9A-9641-44AB-A8A3-61ACD53C9929}" autoFormatId="16" applyNumberFormats="0" applyBorderFormats="0" applyFontFormats="0" applyPatternFormats="0" applyAlignmentFormats="0" applyWidthHeightFormats="0">
  <queryTableRefresh nextId="18">
    <queryTableFields count="16">
      <queryTableField id="1" name="Order ID" tableColumnId="1"/>
      <queryTableField id="2" name="Order Date" tableColumnId="2"/>
      <queryTableField id="3" name="Customer Name" tableColumnId="3"/>
      <queryTableField id="4" name="City" tableColumnId="4"/>
      <queryTableField id="5" name="Department" tableColumnId="5"/>
      <queryTableField id="6" name="Product" tableColumnId="6"/>
      <queryTableField id="7" name="Salesperson" tableColumnId="7"/>
      <queryTableField id="8" name="Quantity" tableColumnId="8"/>
      <queryTableField id="9" name="Unit Price" tableColumnId="9"/>
      <queryTableField id="10" name="Discount %" tableColumnId="10"/>
      <queryTableField id="15" dataBound="0" tableColumnId="15"/>
      <queryTableField id="17" dataBound="0" tableColumnId="17"/>
      <queryTableField id="11" name="Status " tableColumnId="11"/>
      <queryTableField id="14" dataBound="0" tableColumnId="14"/>
      <queryTableField id="12" name="Payment Method" tableColumnId="12"/>
      <queryTableField id="13" name="Remark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FFBF3-E77F-4270-8D31-FE08627A3903}" name="Table1_1" displayName="Table1_1" ref="A1:P101" tableType="queryTable" totalsRowShown="0">
  <autoFilter ref="A1:P101" xr:uid="{334FFBF3-E77F-4270-8D31-FE08627A3903}"/>
  <tableColumns count="16">
    <tableColumn id="1" xr3:uid="{383F7EDF-375B-4982-B8EF-C948A55B22BF}" uniqueName="1" name="Order ID" queryTableFieldId="1" dataDxfId="12"/>
    <tableColumn id="2" xr3:uid="{8403B207-7C67-428C-A82A-B817869AA632}" uniqueName="2" name="Order Date" queryTableFieldId="2" dataDxfId="11"/>
    <tableColumn id="3" xr3:uid="{C13B344E-F9FB-46DE-9B81-2B9BA96907C5}" uniqueName="3" name="Customer Name" queryTableFieldId="3" dataDxfId="10"/>
    <tableColumn id="4" xr3:uid="{5E00F082-4750-441C-A7C9-9F961E95C05B}" uniqueName="4" name="City" queryTableFieldId="4" dataDxfId="9"/>
    <tableColumn id="5" xr3:uid="{B850B6C4-7161-4299-B98D-CC02642E1D90}" uniqueName="5" name="Department" queryTableFieldId="5" dataDxfId="8"/>
    <tableColumn id="6" xr3:uid="{20EA654A-4182-481A-AA67-AD84315E2760}" uniqueName="6" name="Product" queryTableFieldId="6" dataDxfId="7"/>
    <tableColumn id="7" xr3:uid="{A5CD8E74-CE81-4674-9D9F-AA7146D7DB51}" uniqueName="7" name="Salesperson" queryTableFieldId="7" dataDxfId="6"/>
    <tableColumn id="8" xr3:uid="{058ED715-8462-4CF0-A98C-BD6136C62168}" uniqueName="8" name="Quantity" queryTableFieldId="8"/>
    <tableColumn id="9" xr3:uid="{33A439AB-B1F4-4B53-98CC-DC5C93DE9A61}" uniqueName="9" name="Unit Price" queryTableFieldId="9"/>
    <tableColumn id="10" xr3:uid="{5C44DE79-2949-4B3F-8CC0-B588E503282A}" uniqueName="10" name="Discount %" queryTableFieldId="10"/>
    <tableColumn id="15" xr3:uid="{05892CED-7E22-45E4-BA33-4032FE1D3009}" uniqueName="15" name="Discount Amount" queryTableFieldId="15" dataDxfId="5">
      <calculatedColumnFormula>Table1_1[[#This Row],[TOTAL SALES]]*Table1_1[[#This Row],[Discount %]]/100</calculatedColumnFormula>
    </tableColumn>
    <tableColumn id="17" xr3:uid="{3D7B61C4-C526-46F3-A6D0-4E89406D7993}" uniqueName="17" name="After Discount Amount" queryTableFieldId="17" dataDxfId="4">
      <calculatedColumnFormula>Table1_1[[#This Row],[TOTAL SALES]]-Table1_1[[#This Row],[Discount Amount]]</calculatedColumnFormula>
    </tableColumn>
    <tableColumn id="11" xr3:uid="{E422C8F0-FE9D-44AE-9E38-A32AD99175B5}" uniqueName="11" name="Status " queryTableFieldId="11" dataDxfId="3"/>
    <tableColumn id="14" xr3:uid="{51A97393-8396-486C-8B48-7F915A4D7ED6}" uniqueName="14" name="TOTAL SALES" queryTableFieldId="14" dataDxfId="2">
      <calculatedColumnFormula>Table1_1[[#This Row],[Quantity]]*Table1_1[[#This Row],[Unit Price]]</calculatedColumnFormula>
    </tableColumn>
    <tableColumn id="12" xr3:uid="{95A53519-6782-4C7A-84C4-E66FFDCD5AB1}" uniqueName="12" name="Payment Method" queryTableFieldId="12" dataDxfId="1"/>
    <tableColumn id="13" xr3:uid="{2F82F083-B3D0-4639-811C-4E702E236C9E}" uniqueName="13" name="Remarks" queryTableFieldId="13" dataDxfId="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EAABE-E9A4-4646-8EE0-A04E21A2B604}" name="Table3" displayName="Table3" ref="R1:R4" totalsRowShown="0">
  <autoFilter ref="R1:R4" xr:uid="{7A0EAABE-E9A4-4646-8EE0-A04E21A2B604}"/>
  <tableColumns count="1">
    <tableColumn id="1" xr3:uid="{1D0C3D80-9080-47D7-81CE-47EDB6F4902D}" name="CREATED CLOUMN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2A378-8748-4E50-BBAB-4798AFE5B5D3}" name="Table4" displayName="Table4" ref="R7:S13" totalsRowShown="0">
  <autoFilter ref="R7:S13" xr:uid="{5DA2A378-8748-4E50-BBAB-4798AFE5B5D3}"/>
  <tableColumns count="2">
    <tableColumn id="1" xr3:uid="{DBBECFB6-3517-4DCE-B87E-E7B9BF77752D}" name="KPS"/>
    <tableColumn id="2" xr3:uid="{28F2E536-3FCF-46A9-872A-6CA8C3D33BD7}" name="Column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334A-44E1-46E0-91C5-27F72E2BF0FA}">
  <dimension ref="A1:AB101"/>
  <sheetViews>
    <sheetView tabSelected="1" topLeftCell="A3" workbookViewId="0">
      <selection activeCell="N28" sqref="N28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16.7109375" bestFit="1" customWidth="1"/>
    <col min="4" max="4" width="12" bestFit="1" customWidth="1"/>
    <col min="5" max="5" width="15.28515625" bestFit="1" customWidth="1"/>
    <col min="6" max="6" width="10.28515625" bestFit="1" customWidth="1"/>
    <col min="7" max="7" width="13.42578125" bestFit="1" customWidth="1"/>
    <col min="8" max="8" width="10.28515625" bestFit="1" customWidth="1"/>
    <col min="9" max="9" width="11.28515625" bestFit="1" customWidth="1"/>
    <col min="11" max="11" width="17.42578125" bestFit="1" customWidth="1"/>
    <col min="12" max="12" width="21.85546875" bestFit="1" customWidth="1"/>
    <col min="13" max="13" width="11.140625" bestFit="1" customWidth="1"/>
    <col min="14" max="14" width="13.85546875" bestFit="1" customWidth="1"/>
    <col min="15" max="15" width="17.28515625" bestFit="1" customWidth="1"/>
    <col min="16" max="16" width="16.5703125" bestFit="1" customWidth="1"/>
    <col min="18" max="18" width="19.140625" bestFit="1" customWidth="1"/>
    <col min="19" max="19" width="34" bestFit="1" customWidth="1"/>
    <col min="22" max="22" width="12.42578125" bestFit="1" customWidth="1"/>
    <col min="23" max="23" width="14.7109375" bestFit="1" customWidth="1"/>
    <col min="24" max="24" width="8.28515625" bestFit="1" customWidth="1"/>
    <col min="25" max="25" width="7" bestFit="1" customWidth="1"/>
    <col min="26" max="26" width="9.42578125" bestFit="1" customWidth="1"/>
    <col min="27" max="27" width="12.140625" bestFit="1" customWidth="1"/>
    <col min="28" max="28" width="10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244</v>
      </c>
    </row>
    <row r="2" spans="1:28" x14ac:dyDescent="0.25">
      <c r="A2" t="s">
        <v>16</v>
      </c>
      <c r="B2" s="1">
        <v>46137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</v>
      </c>
      <c r="I2">
        <v>4924</v>
      </c>
      <c r="J2">
        <v>0</v>
      </c>
      <c r="K2">
        <f>Table1_1[[#This Row],[TOTAL SALES]]*Table1_1[[#This Row],[Discount %]]/100</f>
        <v>0</v>
      </c>
      <c r="L2">
        <f>Table1_1[[#This Row],[TOTAL SALES]]-Table1_1[[#This Row],[Discount Amount]]</f>
        <v>29544</v>
      </c>
      <c r="M2" t="s">
        <v>22</v>
      </c>
      <c r="N2">
        <f>Table1_1[[#This Row],[Quantity]]*Table1_1[[#This Row],[Unit Price]]</f>
        <v>29544</v>
      </c>
      <c r="O2" t="s">
        <v>23</v>
      </c>
      <c r="P2" t="s">
        <v>24</v>
      </c>
      <c r="R2" t="s">
        <v>245</v>
      </c>
    </row>
    <row r="3" spans="1:28" x14ac:dyDescent="0.25">
      <c r="A3" t="s">
        <v>25</v>
      </c>
      <c r="B3" s="1">
        <v>46102</v>
      </c>
      <c r="C3" t="s">
        <v>26</v>
      </c>
      <c r="D3" t="s">
        <v>18</v>
      </c>
      <c r="E3" t="s">
        <v>19</v>
      </c>
      <c r="F3" t="s">
        <v>20</v>
      </c>
      <c r="G3" t="s">
        <v>21</v>
      </c>
      <c r="H3">
        <v>2</v>
      </c>
      <c r="I3">
        <v>3788</v>
      </c>
      <c r="J3">
        <v>15</v>
      </c>
      <c r="K3">
        <f>Table1_1[[#This Row],[TOTAL SALES]]*Table1_1[[#This Row],[Discount %]]/100</f>
        <v>1136.4000000000001</v>
      </c>
      <c r="L3">
        <f>Table1_1[[#This Row],[TOTAL SALES]]-Table1_1[[#This Row],[Discount Amount]]</f>
        <v>6439.6</v>
      </c>
      <c r="M3" t="s">
        <v>22</v>
      </c>
      <c r="N3">
        <f>Table1_1[[#This Row],[Quantity]]*Table1_1[[#This Row],[Unit Price]]</f>
        <v>7576</v>
      </c>
      <c r="O3" t="s">
        <v>23</v>
      </c>
      <c r="P3" t="s">
        <v>27</v>
      </c>
      <c r="R3" t="s">
        <v>10</v>
      </c>
    </row>
    <row r="4" spans="1:28" x14ac:dyDescent="0.25">
      <c r="A4" t="s">
        <v>28</v>
      </c>
      <c r="B4" s="1">
        <v>46196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9</v>
      </c>
      <c r="I4">
        <v>636</v>
      </c>
      <c r="J4">
        <v>5</v>
      </c>
      <c r="K4">
        <f>Table1_1[[#This Row],[TOTAL SALES]]*Table1_1[[#This Row],[Discount %]]/100</f>
        <v>286.2</v>
      </c>
      <c r="L4">
        <f>Table1_1[[#This Row],[TOTAL SALES]]-Table1_1[[#This Row],[Discount Amount]]</f>
        <v>5437.8</v>
      </c>
      <c r="M4" t="s">
        <v>34</v>
      </c>
      <c r="N4">
        <f>Table1_1[[#This Row],[Quantity]]*Table1_1[[#This Row],[Unit Price]]</f>
        <v>5724</v>
      </c>
      <c r="O4" t="s">
        <v>35</v>
      </c>
      <c r="P4" t="s">
        <v>27</v>
      </c>
      <c r="R4" t="s">
        <v>11</v>
      </c>
      <c r="V4" s="2" t="s">
        <v>255</v>
      </c>
      <c r="W4" s="2" t="s">
        <v>254</v>
      </c>
    </row>
    <row r="5" spans="1:28" x14ac:dyDescent="0.25">
      <c r="A5" t="s">
        <v>36</v>
      </c>
      <c r="B5" s="1">
        <v>46101</v>
      </c>
      <c r="C5" t="s">
        <v>37</v>
      </c>
      <c r="D5" t="s">
        <v>38</v>
      </c>
      <c r="E5" t="s">
        <v>31</v>
      </c>
      <c r="F5" t="s">
        <v>39</v>
      </c>
      <c r="G5" t="s">
        <v>33</v>
      </c>
      <c r="H5">
        <v>5</v>
      </c>
      <c r="I5">
        <v>4721</v>
      </c>
      <c r="J5">
        <v>5</v>
      </c>
      <c r="K5">
        <f>Table1_1[[#This Row],[TOTAL SALES]]*Table1_1[[#This Row],[Discount %]]/100</f>
        <v>1180.25</v>
      </c>
      <c r="L5">
        <f>Table1_1[[#This Row],[TOTAL SALES]]-Table1_1[[#This Row],[Discount Amount]]</f>
        <v>22424.75</v>
      </c>
      <c r="M5" t="s">
        <v>34</v>
      </c>
      <c r="N5">
        <f>Table1_1[[#This Row],[Quantity]]*Table1_1[[#This Row],[Unit Price]]</f>
        <v>23605</v>
      </c>
      <c r="O5" t="s">
        <v>40</v>
      </c>
      <c r="P5" t="s">
        <v>24</v>
      </c>
      <c r="V5" s="2" t="s">
        <v>252</v>
      </c>
      <c r="W5" t="s">
        <v>30</v>
      </c>
      <c r="X5" t="s">
        <v>18</v>
      </c>
      <c r="Y5" t="s">
        <v>53</v>
      </c>
      <c r="Z5" t="s">
        <v>38</v>
      </c>
      <c r="AA5" t="s">
        <v>43</v>
      </c>
      <c r="AB5" t="s">
        <v>253</v>
      </c>
    </row>
    <row r="6" spans="1:28" x14ac:dyDescent="0.25">
      <c r="A6" t="s">
        <v>41</v>
      </c>
      <c r="B6" s="1">
        <v>46091</v>
      </c>
      <c r="C6" t="s">
        <v>42</v>
      </c>
      <c r="D6" t="s">
        <v>43</v>
      </c>
      <c r="E6" t="s">
        <v>44</v>
      </c>
      <c r="F6" t="s">
        <v>45</v>
      </c>
      <c r="G6" t="s">
        <v>21</v>
      </c>
      <c r="H6">
        <v>5</v>
      </c>
      <c r="I6">
        <v>310</v>
      </c>
      <c r="J6">
        <v>10</v>
      </c>
      <c r="K6">
        <f>Table1_1[[#This Row],[TOTAL SALES]]*Table1_1[[#This Row],[Discount %]]/100</f>
        <v>155</v>
      </c>
      <c r="L6">
        <f>Table1_1[[#This Row],[TOTAL SALES]]-Table1_1[[#This Row],[Discount Amount]]</f>
        <v>1395</v>
      </c>
      <c r="M6" t="s">
        <v>22</v>
      </c>
      <c r="N6">
        <f>Table1_1[[#This Row],[Quantity]]*Table1_1[[#This Row],[Unit Price]]</f>
        <v>1550</v>
      </c>
      <c r="O6" t="s">
        <v>40</v>
      </c>
      <c r="P6" t="s">
        <v>24</v>
      </c>
      <c r="V6" s="3" t="s">
        <v>35</v>
      </c>
      <c r="W6">
        <v>136949</v>
      </c>
      <c r="X6">
        <v>54019</v>
      </c>
      <c r="Y6">
        <v>110525</v>
      </c>
      <c r="Z6">
        <v>57796</v>
      </c>
      <c r="AA6">
        <v>34818</v>
      </c>
      <c r="AB6">
        <v>394107</v>
      </c>
    </row>
    <row r="7" spans="1:28" x14ac:dyDescent="0.25">
      <c r="A7" t="s">
        <v>46</v>
      </c>
      <c r="B7" s="1">
        <v>46170</v>
      </c>
      <c r="C7" t="s">
        <v>47</v>
      </c>
      <c r="D7" t="s">
        <v>30</v>
      </c>
      <c r="E7" t="s">
        <v>44</v>
      </c>
      <c r="F7" t="s">
        <v>48</v>
      </c>
      <c r="G7" t="s">
        <v>49</v>
      </c>
      <c r="H7">
        <v>4</v>
      </c>
      <c r="I7">
        <v>1365</v>
      </c>
      <c r="J7">
        <v>5</v>
      </c>
      <c r="K7">
        <f>Table1_1[[#This Row],[TOTAL SALES]]*Table1_1[[#This Row],[Discount %]]/100</f>
        <v>273</v>
      </c>
      <c r="L7">
        <f>Table1_1[[#This Row],[TOTAL SALES]]-Table1_1[[#This Row],[Discount Amount]]</f>
        <v>5187</v>
      </c>
      <c r="M7" t="s">
        <v>34</v>
      </c>
      <c r="N7">
        <f>Table1_1[[#This Row],[Quantity]]*Table1_1[[#This Row],[Unit Price]]</f>
        <v>5460</v>
      </c>
      <c r="O7" t="s">
        <v>35</v>
      </c>
      <c r="P7" t="s">
        <v>50</v>
      </c>
      <c r="R7" t="s">
        <v>246</v>
      </c>
      <c r="S7" t="s">
        <v>247</v>
      </c>
      <c r="V7" s="3" t="s">
        <v>40</v>
      </c>
      <c r="W7">
        <v>89363</v>
      </c>
      <c r="X7">
        <v>72896</v>
      </c>
      <c r="Y7">
        <v>138437</v>
      </c>
      <c r="Z7">
        <v>46955</v>
      </c>
      <c r="AA7">
        <v>90748</v>
      </c>
      <c r="AB7">
        <v>438399</v>
      </c>
    </row>
    <row r="8" spans="1:28" x14ac:dyDescent="0.25">
      <c r="A8" t="s">
        <v>51</v>
      </c>
      <c r="B8" s="1">
        <v>46194</v>
      </c>
      <c r="C8" t="s">
        <v>52</v>
      </c>
      <c r="D8" t="s">
        <v>53</v>
      </c>
      <c r="E8" t="s">
        <v>31</v>
      </c>
      <c r="F8" t="s">
        <v>32</v>
      </c>
      <c r="G8" t="s">
        <v>49</v>
      </c>
      <c r="H8">
        <v>4</v>
      </c>
      <c r="I8">
        <v>3367</v>
      </c>
      <c r="J8">
        <v>5</v>
      </c>
      <c r="K8">
        <f>Table1_1[[#This Row],[TOTAL SALES]]*Table1_1[[#This Row],[Discount %]]/100</f>
        <v>673.4</v>
      </c>
      <c r="L8">
        <f>Table1_1[[#This Row],[TOTAL SALES]]-Table1_1[[#This Row],[Discount Amount]]</f>
        <v>12794.6</v>
      </c>
      <c r="M8" t="s">
        <v>22</v>
      </c>
      <c r="N8">
        <f>Table1_1[[#This Row],[Quantity]]*Table1_1[[#This Row],[Unit Price]]</f>
        <v>13468</v>
      </c>
      <c r="O8" t="s">
        <v>35</v>
      </c>
      <c r="P8" t="s">
        <v>24</v>
      </c>
      <c r="R8">
        <v>1</v>
      </c>
      <c r="S8" t="s">
        <v>248</v>
      </c>
      <c r="V8" s="3" t="s">
        <v>23</v>
      </c>
      <c r="W8">
        <v>85883</v>
      </c>
      <c r="X8">
        <v>161273</v>
      </c>
      <c r="Y8">
        <v>44064</v>
      </c>
      <c r="Z8">
        <v>100617</v>
      </c>
      <c r="AA8">
        <v>91251</v>
      </c>
      <c r="AB8">
        <v>483088</v>
      </c>
    </row>
    <row r="9" spans="1:28" x14ac:dyDescent="0.25">
      <c r="A9" t="s">
        <v>54</v>
      </c>
      <c r="B9" s="1">
        <v>46080</v>
      </c>
      <c r="C9" t="s">
        <v>55</v>
      </c>
      <c r="D9" t="s">
        <v>30</v>
      </c>
      <c r="E9" t="s">
        <v>19</v>
      </c>
      <c r="F9" t="s">
        <v>56</v>
      </c>
      <c r="G9" t="s">
        <v>57</v>
      </c>
      <c r="H9">
        <v>7</v>
      </c>
      <c r="I9">
        <v>635</v>
      </c>
      <c r="J9">
        <v>10</v>
      </c>
      <c r="K9">
        <f>Table1_1[[#This Row],[TOTAL SALES]]*Table1_1[[#This Row],[Discount %]]/100</f>
        <v>444.5</v>
      </c>
      <c r="L9">
        <f>Table1_1[[#This Row],[TOTAL SALES]]-Table1_1[[#This Row],[Discount Amount]]</f>
        <v>4000.5</v>
      </c>
      <c r="M9" t="s">
        <v>34</v>
      </c>
      <c r="N9">
        <f>Table1_1[[#This Row],[Quantity]]*Table1_1[[#This Row],[Unit Price]]</f>
        <v>4445</v>
      </c>
      <c r="O9" t="s">
        <v>40</v>
      </c>
      <c r="P9" t="s">
        <v>24</v>
      </c>
      <c r="R9">
        <v>2</v>
      </c>
      <c r="S9" t="s">
        <v>258</v>
      </c>
      <c r="V9" s="3" t="s">
        <v>253</v>
      </c>
      <c r="W9">
        <v>312195</v>
      </c>
      <c r="X9">
        <v>288188</v>
      </c>
      <c r="Y9">
        <v>293026</v>
      </c>
      <c r="Z9">
        <v>205368</v>
      </c>
      <c r="AA9">
        <v>216817</v>
      </c>
      <c r="AB9">
        <v>1315594</v>
      </c>
    </row>
    <row r="10" spans="1:28" x14ac:dyDescent="0.25">
      <c r="A10" t="s">
        <v>58</v>
      </c>
      <c r="B10" s="1">
        <v>46075</v>
      </c>
      <c r="C10" t="s">
        <v>59</v>
      </c>
      <c r="D10" t="s">
        <v>53</v>
      </c>
      <c r="E10" t="s">
        <v>19</v>
      </c>
      <c r="F10" t="s">
        <v>56</v>
      </c>
      <c r="G10" t="s">
        <v>49</v>
      </c>
      <c r="H10">
        <v>2</v>
      </c>
      <c r="I10">
        <v>931</v>
      </c>
      <c r="J10">
        <v>10</v>
      </c>
      <c r="K10">
        <f>Table1_1[[#This Row],[TOTAL SALES]]*Table1_1[[#This Row],[Discount %]]/100</f>
        <v>186.2</v>
      </c>
      <c r="L10">
        <f>Table1_1[[#This Row],[TOTAL SALES]]-Table1_1[[#This Row],[Discount Amount]]</f>
        <v>1675.8</v>
      </c>
      <c r="M10" t="s">
        <v>34</v>
      </c>
      <c r="N10">
        <f>Table1_1[[#This Row],[Quantity]]*Table1_1[[#This Row],[Unit Price]]</f>
        <v>1862</v>
      </c>
      <c r="O10" t="s">
        <v>40</v>
      </c>
      <c r="P10" t="s">
        <v>60</v>
      </c>
      <c r="R10">
        <v>3</v>
      </c>
      <c r="S10" t="s">
        <v>257</v>
      </c>
    </row>
    <row r="11" spans="1:28" x14ac:dyDescent="0.25">
      <c r="A11" t="s">
        <v>61</v>
      </c>
      <c r="B11" s="1">
        <v>46067</v>
      </c>
      <c r="C11" t="s">
        <v>62</v>
      </c>
      <c r="D11" t="s">
        <v>18</v>
      </c>
      <c r="E11" t="s">
        <v>19</v>
      </c>
      <c r="F11" t="s">
        <v>20</v>
      </c>
      <c r="G11" t="s">
        <v>49</v>
      </c>
      <c r="H11">
        <v>2</v>
      </c>
      <c r="I11">
        <v>1634</v>
      </c>
      <c r="J11">
        <v>15</v>
      </c>
      <c r="K11">
        <f>Table1_1[[#This Row],[TOTAL SALES]]*Table1_1[[#This Row],[Discount %]]/100</f>
        <v>490.2</v>
      </c>
      <c r="L11">
        <f>Table1_1[[#This Row],[TOTAL SALES]]-Table1_1[[#This Row],[Discount Amount]]</f>
        <v>2777.8</v>
      </c>
      <c r="M11" t="s">
        <v>34</v>
      </c>
      <c r="N11">
        <f>Table1_1[[#This Row],[Quantity]]*Table1_1[[#This Row],[Unit Price]]</f>
        <v>3268</v>
      </c>
      <c r="O11" t="s">
        <v>35</v>
      </c>
      <c r="P11" t="s">
        <v>27</v>
      </c>
      <c r="R11">
        <v>4</v>
      </c>
      <c r="S11" t="s">
        <v>249</v>
      </c>
      <c r="V11" s="2" t="s">
        <v>252</v>
      </c>
      <c r="W11" t="s">
        <v>256</v>
      </c>
    </row>
    <row r="12" spans="1:28" x14ac:dyDescent="0.25">
      <c r="A12" t="s">
        <v>63</v>
      </c>
      <c r="B12" s="1">
        <v>46076</v>
      </c>
      <c r="C12" t="s">
        <v>64</v>
      </c>
      <c r="D12" t="s">
        <v>30</v>
      </c>
      <c r="E12" t="s">
        <v>31</v>
      </c>
      <c r="F12" t="s">
        <v>39</v>
      </c>
      <c r="G12" t="s">
        <v>57</v>
      </c>
      <c r="H12">
        <v>7</v>
      </c>
      <c r="I12">
        <v>4252</v>
      </c>
      <c r="J12">
        <v>15</v>
      </c>
      <c r="K12">
        <f>Table1_1[[#This Row],[TOTAL SALES]]*Table1_1[[#This Row],[Discount %]]/100</f>
        <v>4464.6000000000004</v>
      </c>
      <c r="L12">
        <f>Table1_1[[#This Row],[TOTAL SALES]]-Table1_1[[#This Row],[Discount Amount]]</f>
        <v>25299.4</v>
      </c>
      <c r="M12" t="s">
        <v>34</v>
      </c>
      <c r="N12">
        <f>Table1_1[[#This Row],[Quantity]]*Table1_1[[#This Row],[Unit Price]]</f>
        <v>29764</v>
      </c>
      <c r="O12" t="s">
        <v>23</v>
      </c>
      <c r="P12" t="s">
        <v>27</v>
      </c>
      <c r="R12">
        <v>5</v>
      </c>
      <c r="S12" t="s">
        <v>250</v>
      </c>
      <c r="V12" s="3" t="s">
        <v>32</v>
      </c>
      <c r="W12">
        <v>257608.24999999997</v>
      </c>
    </row>
    <row r="13" spans="1:28" x14ac:dyDescent="0.25">
      <c r="A13" t="s">
        <v>65</v>
      </c>
      <c r="B13" s="1">
        <v>46189</v>
      </c>
      <c r="C13" t="s">
        <v>66</v>
      </c>
      <c r="D13" t="s">
        <v>30</v>
      </c>
      <c r="E13" t="s">
        <v>19</v>
      </c>
      <c r="F13" t="s">
        <v>20</v>
      </c>
      <c r="G13" t="s">
        <v>21</v>
      </c>
      <c r="H13">
        <v>2</v>
      </c>
      <c r="I13">
        <v>2374</v>
      </c>
      <c r="J13">
        <v>10</v>
      </c>
      <c r="K13">
        <f>Table1_1[[#This Row],[TOTAL SALES]]*Table1_1[[#This Row],[Discount %]]/100</f>
        <v>474.8</v>
      </c>
      <c r="L13">
        <f>Table1_1[[#This Row],[TOTAL SALES]]-Table1_1[[#This Row],[Discount Amount]]</f>
        <v>4273.2</v>
      </c>
      <c r="M13" t="s">
        <v>22</v>
      </c>
      <c r="N13">
        <f>Table1_1[[#This Row],[Quantity]]*Table1_1[[#This Row],[Unit Price]]</f>
        <v>4748</v>
      </c>
      <c r="O13" t="s">
        <v>40</v>
      </c>
      <c r="P13" t="s">
        <v>27</v>
      </c>
      <c r="R13">
        <v>6</v>
      </c>
      <c r="S13" t="s">
        <v>251</v>
      </c>
      <c r="V13" s="3" t="s">
        <v>39</v>
      </c>
      <c r="W13">
        <v>203141.15</v>
      </c>
    </row>
    <row r="14" spans="1:28" x14ac:dyDescent="0.25">
      <c r="A14" t="s">
        <v>67</v>
      </c>
      <c r="B14" s="1">
        <v>46193</v>
      </c>
      <c r="C14" t="s">
        <v>68</v>
      </c>
      <c r="D14" t="s">
        <v>53</v>
      </c>
      <c r="E14" t="s">
        <v>19</v>
      </c>
      <c r="F14" t="s">
        <v>20</v>
      </c>
      <c r="G14" t="s">
        <v>21</v>
      </c>
      <c r="H14">
        <v>5</v>
      </c>
      <c r="I14">
        <v>1612</v>
      </c>
      <c r="J14">
        <v>5</v>
      </c>
      <c r="K14">
        <f>Table1_1[[#This Row],[TOTAL SALES]]*Table1_1[[#This Row],[Discount %]]/100</f>
        <v>403</v>
      </c>
      <c r="L14">
        <f>Table1_1[[#This Row],[TOTAL SALES]]-Table1_1[[#This Row],[Discount Amount]]</f>
        <v>7657</v>
      </c>
      <c r="M14" t="s">
        <v>34</v>
      </c>
      <c r="N14">
        <f>Table1_1[[#This Row],[Quantity]]*Table1_1[[#This Row],[Unit Price]]</f>
        <v>8060</v>
      </c>
      <c r="O14" t="s">
        <v>35</v>
      </c>
      <c r="P14" t="s">
        <v>50</v>
      </c>
      <c r="V14" s="3" t="s">
        <v>45</v>
      </c>
      <c r="W14">
        <v>95790.500000000015</v>
      </c>
    </row>
    <row r="15" spans="1:28" x14ac:dyDescent="0.25">
      <c r="A15" t="s">
        <v>69</v>
      </c>
      <c r="B15" s="1">
        <v>46182</v>
      </c>
      <c r="C15" t="s">
        <v>70</v>
      </c>
      <c r="D15" t="s">
        <v>30</v>
      </c>
      <c r="E15" t="s">
        <v>44</v>
      </c>
      <c r="F15" t="s">
        <v>71</v>
      </c>
      <c r="G15" t="s">
        <v>57</v>
      </c>
      <c r="H15">
        <v>10</v>
      </c>
      <c r="I15">
        <v>1044</v>
      </c>
      <c r="J15">
        <v>15</v>
      </c>
      <c r="K15">
        <f>Table1_1[[#This Row],[TOTAL SALES]]*Table1_1[[#This Row],[Discount %]]/100</f>
        <v>1566</v>
      </c>
      <c r="L15">
        <f>Table1_1[[#This Row],[TOTAL SALES]]-Table1_1[[#This Row],[Discount Amount]]</f>
        <v>8874</v>
      </c>
      <c r="M15" t="s">
        <v>22</v>
      </c>
      <c r="N15">
        <f>Table1_1[[#This Row],[Quantity]]*Table1_1[[#This Row],[Unit Price]]</f>
        <v>10440</v>
      </c>
      <c r="O15" t="s">
        <v>35</v>
      </c>
      <c r="P15" t="s">
        <v>24</v>
      </c>
      <c r="V15" s="3" t="s">
        <v>71</v>
      </c>
      <c r="W15">
        <v>109287.00000000001</v>
      </c>
    </row>
    <row r="16" spans="1:28" x14ac:dyDescent="0.25">
      <c r="A16" t="s">
        <v>72</v>
      </c>
      <c r="B16" s="1">
        <v>46113</v>
      </c>
      <c r="C16" t="s">
        <v>73</v>
      </c>
      <c r="D16" t="s">
        <v>53</v>
      </c>
      <c r="E16" t="s">
        <v>44</v>
      </c>
      <c r="F16" t="s">
        <v>71</v>
      </c>
      <c r="G16" t="s">
        <v>57</v>
      </c>
      <c r="H16">
        <v>9</v>
      </c>
      <c r="I16">
        <v>3043</v>
      </c>
      <c r="J16">
        <v>10</v>
      </c>
      <c r="K16">
        <f>Table1_1[[#This Row],[TOTAL SALES]]*Table1_1[[#This Row],[Discount %]]/100</f>
        <v>2738.7</v>
      </c>
      <c r="L16">
        <f>Table1_1[[#This Row],[TOTAL SALES]]-Table1_1[[#This Row],[Discount Amount]]</f>
        <v>24648.3</v>
      </c>
      <c r="M16" t="s">
        <v>34</v>
      </c>
      <c r="N16">
        <f>Table1_1[[#This Row],[Quantity]]*Table1_1[[#This Row],[Unit Price]]</f>
        <v>27387</v>
      </c>
      <c r="O16" t="s">
        <v>40</v>
      </c>
      <c r="P16" t="s">
        <v>27</v>
      </c>
      <c r="R16" t="s">
        <v>13</v>
      </c>
      <c r="S16">
        <f>SUM(Table1_1[TOTAL SALES])</f>
        <v>1315594</v>
      </c>
      <c r="V16" s="3" t="s">
        <v>48</v>
      </c>
      <c r="W16">
        <v>89552</v>
      </c>
    </row>
    <row r="17" spans="1:23" x14ac:dyDescent="0.25">
      <c r="A17" t="s">
        <v>74</v>
      </c>
      <c r="B17" s="1">
        <v>46197</v>
      </c>
      <c r="C17" t="s">
        <v>75</v>
      </c>
      <c r="D17" t="s">
        <v>18</v>
      </c>
      <c r="E17" t="s">
        <v>19</v>
      </c>
      <c r="F17" t="s">
        <v>20</v>
      </c>
      <c r="G17" t="s">
        <v>21</v>
      </c>
      <c r="H17">
        <v>1</v>
      </c>
      <c r="I17">
        <v>319</v>
      </c>
      <c r="J17">
        <v>5</v>
      </c>
      <c r="K17">
        <f>Table1_1[[#This Row],[TOTAL SALES]]*Table1_1[[#This Row],[Discount %]]/100</f>
        <v>15.95</v>
      </c>
      <c r="L17">
        <f>Table1_1[[#This Row],[TOTAL SALES]]-Table1_1[[#This Row],[Discount Amount]]</f>
        <v>303.05</v>
      </c>
      <c r="M17" t="s">
        <v>34</v>
      </c>
      <c r="N17">
        <f>Table1_1[[#This Row],[Quantity]]*Table1_1[[#This Row],[Unit Price]]</f>
        <v>319</v>
      </c>
      <c r="O17" t="s">
        <v>40</v>
      </c>
      <c r="P17" t="s">
        <v>50</v>
      </c>
      <c r="R17" t="s">
        <v>260</v>
      </c>
      <c r="S17">
        <f>AVERAGE(Table1_1[TOTAL SALES])</f>
        <v>13155.94</v>
      </c>
      <c r="V17" s="3" t="s">
        <v>20</v>
      </c>
      <c r="W17">
        <v>265853.14999999997</v>
      </c>
    </row>
    <row r="18" spans="1:23" x14ac:dyDescent="0.25">
      <c r="A18" t="s">
        <v>76</v>
      </c>
      <c r="B18" s="1">
        <v>46063</v>
      </c>
      <c r="C18" t="s">
        <v>77</v>
      </c>
      <c r="D18" t="s">
        <v>18</v>
      </c>
      <c r="E18" t="s">
        <v>19</v>
      </c>
      <c r="F18" t="s">
        <v>20</v>
      </c>
      <c r="G18" t="s">
        <v>57</v>
      </c>
      <c r="H18">
        <v>8</v>
      </c>
      <c r="I18">
        <v>4177</v>
      </c>
      <c r="J18">
        <v>0</v>
      </c>
      <c r="K18">
        <f>Table1_1[[#This Row],[TOTAL SALES]]*Table1_1[[#This Row],[Discount %]]/100</f>
        <v>0</v>
      </c>
      <c r="L18">
        <f>Table1_1[[#This Row],[TOTAL SALES]]-Table1_1[[#This Row],[Discount Amount]]</f>
        <v>33416</v>
      </c>
      <c r="M18" t="s">
        <v>22</v>
      </c>
      <c r="N18">
        <f>Table1_1[[#This Row],[Quantity]]*Table1_1[[#This Row],[Unit Price]]</f>
        <v>33416</v>
      </c>
      <c r="O18" t="s">
        <v>23</v>
      </c>
      <c r="P18" t="s">
        <v>50</v>
      </c>
      <c r="R18" t="s">
        <v>261</v>
      </c>
      <c r="S18">
        <f>SUM(Table1_1[Quantity])</f>
        <v>522</v>
      </c>
      <c r="V18" s="3" t="s">
        <v>56</v>
      </c>
      <c r="W18">
        <v>209107.25</v>
      </c>
    </row>
    <row r="19" spans="1:23" x14ac:dyDescent="0.25">
      <c r="A19" t="s">
        <v>78</v>
      </c>
      <c r="B19" s="1">
        <v>46099</v>
      </c>
      <c r="C19" t="s">
        <v>79</v>
      </c>
      <c r="D19" t="s">
        <v>30</v>
      </c>
      <c r="E19" t="s">
        <v>31</v>
      </c>
      <c r="F19" t="s">
        <v>32</v>
      </c>
      <c r="G19" t="s">
        <v>57</v>
      </c>
      <c r="H19">
        <v>4</v>
      </c>
      <c r="I19">
        <v>3996</v>
      </c>
      <c r="J19">
        <v>5</v>
      </c>
      <c r="K19">
        <f>Table1_1[[#This Row],[TOTAL SALES]]*Table1_1[[#This Row],[Discount %]]/100</f>
        <v>799.2</v>
      </c>
      <c r="L19">
        <f>Table1_1[[#This Row],[TOTAL SALES]]-Table1_1[[#This Row],[Discount Amount]]</f>
        <v>15184.8</v>
      </c>
      <c r="M19" t="s">
        <v>34</v>
      </c>
      <c r="N19">
        <f>Table1_1[[#This Row],[Quantity]]*Table1_1[[#This Row],[Unit Price]]</f>
        <v>15984</v>
      </c>
      <c r="O19" t="s">
        <v>35</v>
      </c>
      <c r="P19" t="s">
        <v>50</v>
      </c>
      <c r="V19" s="3" t="s">
        <v>253</v>
      </c>
      <c r="W19">
        <v>1230339.3</v>
      </c>
    </row>
    <row r="20" spans="1:23" x14ac:dyDescent="0.25">
      <c r="A20" t="s">
        <v>80</v>
      </c>
      <c r="B20" s="1">
        <v>46126</v>
      </c>
      <c r="C20" t="s">
        <v>81</v>
      </c>
      <c r="D20" t="s">
        <v>18</v>
      </c>
      <c r="E20" t="s">
        <v>44</v>
      </c>
      <c r="F20" t="s">
        <v>71</v>
      </c>
      <c r="G20" t="s">
        <v>21</v>
      </c>
      <c r="H20">
        <v>5</v>
      </c>
      <c r="I20">
        <v>1889</v>
      </c>
      <c r="J20">
        <v>10</v>
      </c>
      <c r="K20">
        <f>Table1_1[[#This Row],[TOTAL SALES]]*Table1_1[[#This Row],[Discount %]]/100</f>
        <v>944.5</v>
      </c>
      <c r="L20">
        <f>Table1_1[[#This Row],[TOTAL SALES]]-Table1_1[[#This Row],[Discount Amount]]</f>
        <v>8500.5</v>
      </c>
      <c r="M20" t="s">
        <v>22</v>
      </c>
      <c r="N20">
        <f>Table1_1[[#This Row],[Quantity]]*Table1_1[[#This Row],[Unit Price]]</f>
        <v>9445</v>
      </c>
      <c r="O20" t="s">
        <v>40</v>
      </c>
      <c r="P20" t="s">
        <v>60</v>
      </c>
    </row>
    <row r="21" spans="1:23" x14ac:dyDescent="0.25">
      <c r="A21" t="s">
        <v>82</v>
      </c>
      <c r="B21" s="1">
        <v>46165</v>
      </c>
      <c r="C21" t="s">
        <v>83</v>
      </c>
      <c r="D21" t="s">
        <v>38</v>
      </c>
      <c r="E21" t="s">
        <v>19</v>
      </c>
      <c r="F21" t="s">
        <v>56</v>
      </c>
      <c r="G21" t="s">
        <v>33</v>
      </c>
      <c r="H21">
        <v>10</v>
      </c>
      <c r="I21">
        <v>1883</v>
      </c>
      <c r="J21">
        <v>0</v>
      </c>
      <c r="K21">
        <f>Table1_1[[#This Row],[TOTAL SALES]]*Table1_1[[#This Row],[Discount %]]/100</f>
        <v>0</v>
      </c>
      <c r="L21">
        <f>Table1_1[[#This Row],[TOTAL SALES]]-Table1_1[[#This Row],[Discount Amount]]</f>
        <v>18830</v>
      </c>
      <c r="M21" t="s">
        <v>22</v>
      </c>
      <c r="N21">
        <f>Table1_1[[#This Row],[Quantity]]*Table1_1[[#This Row],[Unit Price]]</f>
        <v>18830</v>
      </c>
      <c r="O21" t="s">
        <v>40</v>
      </c>
      <c r="P21" t="s">
        <v>50</v>
      </c>
      <c r="V21" s="2" t="s">
        <v>252</v>
      </c>
      <c r="W21" t="s">
        <v>255</v>
      </c>
    </row>
    <row r="22" spans="1:23" x14ac:dyDescent="0.25">
      <c r="A22" t="s">
        <v>84</v>
      </c>
      <c r="B22" s="1">
        <v>46081</v>
      </c>
      <c r="C22" t="s">
        <v>85</v>
      </c>
      <c r="D22" t="s">
        <v>18</v>
      </c>
      <c r="E22" t="s">
        <v>31</v>
      </c>
      <c r="F22" t="s">
        <v>32</v>
      </c>
      <c r="G22" t="s">
        <v>33</v>
      </c>
      <c r="H22">
        <v>3</v>
      </c>
      <c r="I22">
        <v>3962</v>
      </c>
      <c r="J22">
        <v>5</v>
      </c>
      <c r="K22">
        <f>Table1_1[[#This Row],[TOTAL SALES]]*Table1_1[[#This Row],[Discount %]]/100</f>
        <v>594.29999999999995</v>
      </c>
      <c r="L22">
        <f>Table1_1[[#This Row],[TOTAL SALES]]-Table1_1[[#This Row],[Discount Amount]]</f>
        <v>11291.7</v>
      </c>
      <c r="M22" t="s">
        <v>22</v>
      </c>
      <c r="N22">
        <f>Table1_1[[#This Row],[Quantity]]*Table1_1[[#This Row],[Unit Price]]</f>
        <v>11886</v>
      </c>
      <c r="O22" t="s">
        <v>40</v>
      </c>
      <c r="P22" t="s">
        <v>50</v>
      </c>
      <c r="V22" s="3" t="s">
        <v>30</v>
      </c>
      <c r="W22">
        <v>312195</v>
      </c>
    </row>
    <row r="23" spans="1:23" x14ac:dyDescent="0.25">
      <c r="A23" t="s">
        <v>86</v>
      </c>
      <c r="B23" s="1">
        <v>46146</v>
      </c>
      <c r="C23" t="s">
        <v>87</v>
      </c>
      <c r="D23" t="s">
        <v>18</v>
      </c>
      <c r="E23" t="s">
        <v>19</v>
      </c>
      <c r="F23" t="s">
        <v>56</v>
      </c>
      <c r="G23" t="s">
        <v>33</v>
      </c>
      <c r="H23">
        <v>2</v>
      </c>
      <c r="I23">
        <v>1153</v>
      </c>
      <c r="J23">
        <v>0</v>
      </c>
      <c r="K23">
        <f>Table1_1[[#This Row],[TOTAL SALES]]*Table1_1[[#This Row],[Discount %]]/100</f>
        <v>0</v>
      </c>
      <c r="L23">
        <f>Table1_1[[#This Row],[TOTAL SALES]]-Table1_1[[#This Row],[Discount Amount]]</f>
        <v>2306</v>
      </c>
      <c r="M23" t="s">
        <v>22</v>
      </c>
      <c r="N23">
        <f>Table1_1[[#This Row],[Quantity]]*Table1_1[[#This Row],[Unit Price]]</f>
        <v>2306</v>
      </c>
      <c r="O23" t="s">
        <v>23</v>
      </c>
      <c r="P23" t="s">
        <v>60</v>
      </c>
      <c r="V23" s="3" t="s">
        <v>18</v>
      </c>
      <c r="W23">
        <v>288188</v>
      </c>
    </row>
    <row r="24" spans="1:23" x14ac:dyDescent="0.25">
      <c r="A24" t="s">
        <v>88</v>
      </c>
      <c r="B24" s="1">
        <v>46075</v>
      </c>
      <c r="C24" t="s">
        <v>89</v>
      </c>
      <c r="D24" t="s">
        <v>30</v>
      </c>
      <c r="E24" t="s">
        <v>31</v>
      </c>
      <c r="F24" t="s">
        <v>32</v>
      </c>
      <c r="G24" t="s">
        <v>57</v>
      </c>
      <c r="H24">
        <v>6</v>
      </c>
      <c r="I24">
        <v>2809</v>
      </c>
      <c r="J24">
        <v>5</v>
      </c>
      <c r="K24">
        <f>Table1_1[[#This Row],[TOTAL SALES]]*Table1_1[[#This Row],[Discount %]]/100</f>
        <v>842.7</v>
      </c>
      <c r="L24">
        <f>Table1_1[[#This Row],[TOTAL SALES]]-Table1_1[[#This Row],[Discount Amount]]</f>
        <v>16011.3</v>
      </c>
      <c r="M24" t="s">
        <v>34</v>
      </c>
      <c r="N24">
        <f>Table1_1[[#This Row],[Quantity]]*Table1_1[[#This Row],[Unit Price]]</f>
        <v>16854</v>
      </c>
      <c r="O24" t="s">
        <v>23</v>
      </c>
      <c r="P24" t="s">
        <v>24</v>
      </c>
      <c r="V24" s="3" t="s">
        <v>53</v>
      </c>
      <c r="W24">
        <v>293026</v>
      </c>
    </row>
    <row r="25" spans="1:23" x14ac:dyDescent="0.25">
      <c r="A25" t="s">
        <v>90</v>
      </c>
      <c r="B25" s="1">
        <v>46129</v>
      </c>
      <c r="C25" t="s">
        <v>91</v>
      </c>
      <c r="D25" t="s">
        <v>30</v>
      </c>
      <c r="E25" t="s">
        <v>44</v>
      </c>
      <c r="F25" t="s">
        <v>45</v>
      </c>
      <c r="G25" t="s">
        <v>49</v>
      </c>
      <c r="H25">
        <v>4</v>
      </c>
      <c r="I25">
        <v>2307</v>
      </c>
      <c r="J25">
        <v>10</v>
      </c>
      <c r="K25">
        <f>Table1_1[[#This Row],[TOTAL SALES]]*Table1_1[[#This Row],[Discount %]]/100</f>
        <v>922.8</v>
      </c>
      <c r="L25">
        <f>Table1_1[[#This Row],[TOTAL SALES]]-Table1_1[[#This Row],[Discount Amount]]</f>
        <v>8305.2000000000007</v>
      </c>
      <c r="M25" t="s">
        <v>22</v>
      </c>
      <c r="N25">
        <f>Table1_1[[#This Row],[Quantity]]*Table1_1[[#This Row],[Unit Price]]</f>
        <v>9228</v>
      </c>
      <c r="O25" t="s">
        <v>23</v>
      </c>
      <c r="P25" t="s">
        <v>50</v>
      </c>
      <c r="V25" s="3" t="s">
        <v>38</v>
      </c>
      <c r="W25">
        <v>205368</v>
      </c>
    </row>
    <row r="26" spans="1:23" x14ac:dyDescent="0.25">
      <c r="A26" t="s">
        <v>92</v>
      </c>
      <c r="B26" s="1">
        <v>46030</v>
      </c>
      <c r="C26" t="s">
        <v>93</v>
      </c>
      <c r="D26" t="s">
        <v>30</v>
      </c>
      <c r="E26" t="s">
        <v>31</v>
      </c>
      <c r="F26" t="s">
        <v>39</v>
      </c>
      <c r="G26" t="s">
        <v>21</v>
      </c>
      <c r="H26">
        <v>2</v>
      </c>
      <c r="I26">
        <v>1874</v>
      </c>
      <c r="J26">
        <v>0</v>
      </c>
      <c r="K26">
        <f>Table1_1[[#This Row],[TOTAL SALES]]*Table1_1[[#This Row],[Discount %]]/100</f>
        <v>0</v>
      </c>
      <c r="L26">
        <f>Table1_1[[#This Row],[TOTAL SALES]]-Table1_1[[#This Row],[Discount Amount]]</f>
        <v>3748</v>
      </c>
      <c r="M26" t="s">
        <v>22</v>
      </c>
      <c r="N26">
        <f>Table1_1[[#This Row],[Quantity]]*Table1_1[[#This Row],[Unit Price]]</f>
        <v>3748</v>
      </c>
      <c r="O26" t="s">
        <v>35</v>
      </c>
      <c r="P26" t="s">
        <v>27</v>
      </c>
      <c r="V26" s="3" t="s">
        <v>43</v>
      </c>
      <c r="W26">
        <v>216817</v>
      </c>
    </row>
    <row r="27" spans="1:23" x14ac:dyDescent="0.25">
      <c r="A27" t="s">
        <v>94</v>
      </c>
      <c r="B27" s="1">
        <v>46075</v>
      </c>
      <c r="C27" t="s">
        <v>95</v>
      </c>
      <c r="D27" t="s">
        <v>43</v>
      </c>
      <c r="E27" t="s">
        <v>19</v>
      </c>
      <c r="F27" t="s">
        <v>20</v>
      </c>
      <c r="G27" t="s">
        <v>21</v>
      </c>
      <c r="H27">
        <v>9</v>
      </c>
      <c r="I27">
        <v>2591</v>
      </c>
      <c r="J27">
        <v>10</v>
      </c>
      <c r="K27">
        <f>Table1_1[[#This Row],[TOTAL SALES]]*Table1_1[[#This Row],[Discount %]]/100</f>
        <v>2331.9</v>
      </c>
      <c r="L27">
        <f>Table1_1[[#This Row],[TOTAL SALES]]-Table1_1[[#This Row],[Discount Amount]]</f>
        <v>20987.1</v>
      </c>
      <c r="M27" t="s">
        <v>22</v>
      </c>
      <c r="N27">
        <f>Table1_1[[#This Row],[Quantity]]*Table1_1[[#This Row],[Unit Price]]</f>
        <v>23319</v>
      </c>
      <c r="O27" t="s">
        <v>40</v>
      </c>
      <c r="P27" t="s">
        <v>60</v>
      </c>
      <c r="V27" s="3" t="s">
        <v>253</v>
      </c>
      <c r="W27">
        <v>1315594</v>
      </c>
    </row>
    <row r="28" spans="1:23" x14ac:dyDescent="0.25">
      <c r="A28" t="s">
        <v>96</v>
      </c>
      <c r="B28" s="1">
        <v>46153</v>
      </c>
      <c r="C28" t="s">
        <v>97</v>
      </c>
      <c r="D28" t="s">
        <v>53</v>
      </c>
      <c r="E28" t="s">
        <v>44</v>
      </c>
      <c r="F28" t="s">
        <v>71</v>
      </c>
      <c r="G28" t="s">
        <v>49</v>
      </c>
      <c r="H28">
        <v>10</v>
      </c>
      <c r="I28">
        <v>2973</v>
      </c>
      <c r="J28">
        <v>5</v>
      </c>
      <c r="K28">
        <f>Table1_1[[#This Row],[TOTAL SALES]]*Table1_1[[#This Row],[Discount %]]/100</f>
        <v>1486.5</v>
      </c>
      <c r="L28">
        <f>Table1_1[[#This Row],[TOTAL SALES]]-Table1_1[[#This Row],[Discount Amount]]</f>
        <v>28243.5</v>
      </c>
      <c r="M28" t="s">
        <v>22</v>
      </c>
      <c r="N28">
        <f>Table1_1[[#This Row],[Quantity]]*Table1_1[[#This Row],[Unit Price]]</f>
        <v>29730</v>
      </c>
      <c r="O28" t="s">
        <v>35</v>
      </c>
      <c r="P28" t="s">
        <v>60</v>
      </c>
    </row>
    <row r="29" spans="1:23" x14ac:dyDescent="0.25">
      <c r="A29" t="s">
        <v>98</v>
      </c>
      <c r="B29" s="1">
        <v>46122</v>
      </c>
      <c r="C29" t="s">
        <v>99</v>
      </c>
      <c r="D29" t="s">
        <v>30</v>
      </c>
      <c r="E29" t="s">
        <v>19</v>
      </c>
      <c r="F29" t="s">
        <v>20</v>
      </c>
      <c r="G29" t="s">
        <v>49</v>
      </c>
      <c r="H29">
        <v>1</v>
      </c>
      <c r="I29">
        <v>1713</v>
      </c>
      <c r="J29">
        <v>0</v>
      </c>
      <c r="K29">
        <f>Table1_1[[#This Row],[TOTAL SALES]]*Table1_1[[#This Row],[Discount %]]/100</f>
        <v>0</v>
      </c>
      <c r="L29">
        <f>Table1_1[[#This Row],[TOTAL SALES]]-Table1_1[[#This Row],[Discount Amount]]</f>
        <v>1713</v>
      </c>
      <c r="M29" t="s">
        <v>34</v>
      </c>
      <c r="N29">
        <f>Table1_1[[#This Row],[Quantity]]*Table1_1[[#This Row],[Unit Price]]</f>
        <v>1713</v>
      </c>
      <c r="O29" t="s">
        <v>35</v>
      </c>
      <c r="P29" t="s">
        <v>24</v>
      </c>
      <c r="V29" s="2" t="s">
        <v>252</v>
      </c>
      <c r="W29" t="s">
        <v>259</v>
      </c>
    </row>
    <row r="30" spans="1:23" x14ac:dyDescent="0.25">
      <c r="A30" t="s">
        <v>100</v>
      </c>
      <c r="B30" s="1">
        <v>46163</v>
      </c>
      <c r="C30" t="s">
        <v>101</v>
      </c>
      <c r="D30" t="s">
        <v>30</v>
      </c>
      <c r="E30" t="s">
        <v>31</v>
      </c>
      <c r="F30" t="s">
        <v>39</v>
      </c>
      <c r="G30" t="s">
        <v>57</v>
      </c>
      <c r="H30">
        <v>2</v>
      </c>
      <c r="I30">
        <v>4916</v>
      </c>
      <c r="J30">
        <v>5</v>
      </c>
      <c r="K30">
        <f>Table1_1[[#This Row],[TOTAL SALES]]*Table1_1[[#This Row],[Discount %]]/100</f>
        <v>491.6</v>
      </c>
      <c r="L30">
        <f>Table1_1[[#This Row],[TOTAL SALES]]-Table1_1[[#This Row],[Discount Amount]]</f>
        <v>9340.4</v>
      </c>
      <c r="M30" t="s">
        <v>34</v>
      </c>
      <c r="N30">
        <f>Table1_1[[#This Row],[Quantity]]*Table1_1[[#This Row],[Unit Price]]</f>
        <v>9832</v>
      </c>
      <c r="O30" t="s">
        <v>23</v>
      </c>
      <c r="P30" t="s">
        <v>60</v>
      </c>
      <c r="V30" s="3" t="s">
        <v>30</v>
      </c>
      <c r="W30">
        <v>27</v>
      </c>
    </row>
    <row r="31" spans="1:23" x14ac:dyDescent="0.25">
      <c r="A31" t="s">
        <v>102</v>
      </c>
      <c r="B31" s="1">
        <v>46061</v>
      </c>
      <c r="C31" t="s">
        <v>103</v>
      </c>
      <c r="D31" t="s">
        <v>38</v>
      </c>
      <c r="E31" t="s">
        <v>31</v>
      </c>
      <c r="F31" t="s">
        <v>39</v>
      </c>
      <c r="G31" t="s">
        <v>57</v>
      </c>
      <c r="H31">
        <v>7</v>
      </c>
      <c r="I31">
        <v>2683</v>
      </c>
      <c r="J31">
        <v>10</v>
      </c>
      <c r="K31">
        <f>Table1_1[[#This Row],[TOTAL SALES]]*Table1_1[[#This Row],[Discount %]]/100</f>
        <v>1878.1</v>
      </c>
      <c r="L31">
        <f>Table1_1[[#This Row],[TOTAL SALES]]-Table1_1[[#This Row],[Discount Amount]]</f>
        <v>16902.900000000001</v>
      </c>
      <c r="M31" t="s">
        <v>22</v>
      </c>
      <c r="N31">
        <f>Table1_1[[#This Row],[Quantity]]*Table1_1[[#This Row],[Unit Price]]</f>
        <v>18781</v>
      </c>
      <c r="O31" t="s">
        <v>23</v>
      </c>
      <c r="P31" t="s">
        <v>27</v>
      </c>
      <c r="V31" s="3" t="s">
        <v>18</v>
      </c>
      <c r="W31">
        <v>20</v>
      </c>
    </row>
    <row r="32" spans="1:23" x14ac:dyDescent="0.25">
      <c r="A32" t="s">
        <v>104</v>
      </c>
      <c r="B32" s="1">
        <v>46122</v>
      </c>
      <c r="C32" t="s">
        <v>105</v>
      </c>
      <c r="D32" t="s">
        <v>43</v>
      </c>
      <c r="E32" t="s">
        <v>19</v>
      </c>
      <c r="F32" t="s">
        <v>56</v>
      </c>
      <c r="G32" t="s">
        <v>49</v>
      </c>
      <c r="H32">
        <v>10</v>
      </c>
      <c r="I32">
        <v>4144</v>
      </c>
      <c r="J32">
        <v>15</v>
      </c>
      <c r="K32">
        <f>Table1_1[[#This Row],[TOTAL SALES]]*Table1_1[[#This Row],[Discount %]]/100</f>
        <v>6216</v>
      </c>
      <c r="L32">
        <f>Table1_1[[#This Row],[TOTAL SALES]]-Table1_1[[#This Row],[Discount Amount]]</f>
        <v>35224</v>
      </c>
      <c r="M32" t="s">
        <v>22</v>
      </c>
      <c r="N32">
        <f>Table1_1[[#This Row],[Quantity]]*Table1_1[[#This Row],[Unit Price]]</f>
        <v>41440</v>
      </c>
      <c r="O32" t="s">
        <v>40</v>
      </c>
      <c r="P32" t="s">
        <v>50</v>
      </c>
      <c r="V32" s="3" t="s">
        <v>53</v>
      </c>
      <c r="W32">
        <v>19</v>
      </c>
    </row>
    <row r="33" spans="1:23" x14ac:dyDescent="0.25">
      <c r="A33" t="s">
        <v>106</v>
      </c>
      <c r="B33" s="1">
        <v>46133</v>
      </c>
      <c r="C33" t="s">
        <v>107</v>
      </c>
      <c r="D33" t="s">
        <v>43</v>
      </c>
      <c r="E33" t="s">
        <v>44</v>
      </c>
      <c r="F33" t="s">
        <v>48</v>
      </c>
      <c r="G33" t="s">
        <v>33</v>
      </c>
      <c r="H33">
        <v>7</v>
      </c>
      <c r="I33">
        <v>4072</v>
      </c>
      <c r="J33">
        <v>15</v>
      </c>
      <c r="K33">
        <f>Table1_1[[#This Row],[TOTAL SALES]]*Table1_1[[#This Row],[Discount %]]/100</f>
        <v>4275.6000000000004</v>
      </c>
      <c r="L33">
        <f>Table1_1[[#This Row],[TOTAL SALES]]-Table1_1[[#This Row],[Discount Amount]]</f>
        <v>24228.400000000001</v>
      </c>
      <c r="M33" t="s">
        <v>22</v>
      </c>
      <c r="N33">
        <f>Table1_1[[#This Row],[Quantity]]*Table1_1[[#This Row],[Unit Price]]</f>
        <v>28504</v>
      </c>
      <c r="O33" t="s">
        <v>23</v>
      </c>
      <c r="P33" t="s">
        <v>27</v>
      </c>
      <c r="V33" s="3" t="s">
        <v>38</v>
      </c>
      <c r="W33">
        <v>17</v>
      </c>
    </row>
    <row r="34" spans="1:23" x14ac:dyDescent="0.25">
      <c r="A34" t="s">
        <v>108</v>
      </c>
      <c r="B34" s="1">
        <v>46057</v>
      </c>
      <c r="C34" t="s">
        <v>109</v>
      </c>
      <c r="D34" t="s">
        <v>30</v>
      </c>
      <c r="E34" t="s">
        <v>31</v>
      </c>
      <c r="F34" t="s">
        <v>39</v>
      </c>
      <c r="G34" t="s">
        <v>57</v>
      </c>
      <c r="H34">
        <v>9</v>
      </c>
      <c r="I34">
        <v>2346</v>
      </c>
      <c r="J34">
        <v>15</v>
      </c>
      <c r="K34">
        <f>Table1_1[[#This Row],[TOTAL SALES]]*Table1_1[[#This Row],[Discount %]]/100</f>
        <v>3167.1</v>
      </c>
      <c r="L34">
        <f>Table1_1[[#This Row],[TOTAL SALES]]-Table1_1[[#This Row],[Discount Amount]]</f>
        <v>17946.900000000001</v>
      </c>
      <c r="M34" t="s">
        <v>34</v>
      </c>
      <c r="N34">
        <f>Table1_1[[#This Row],[Quantity]]*Table1_1[[#This Row],[Unit Price]]</f>
        <v>21114</v>
      </c>
      <c r="O34" t="s">
        <v>35</v>
      </c>
      <c r="P34" t="s">
        <v>24</v>
      </c>
      <c r="V34" s="3" t="s">
        <v>43</v>
      </c>
      <c r="W34">
        <v>17</v>
      </c>
    </row>
    <row r="35" spans="1:23" x14ac:dyDescent="0.25">
      <c r="A35" t="s">
        <v>110</v>
      </c>
      <c r="B35" s="1">
        <v>46045</v>
      </c>
      <c r="C35" t="s">
        <v>111</v>
      </c>
      <c r="D35" t="s">
        <v>43</v>
      </c>
      <c r="E35" t="s">
        <v>19</v>
      </c>
      <c r="F35" t="s">
        <v>56</v>
      </c>
      <c r="G35" t="s">
        <v>57</v>
      </c>
      <c r="H35">
        <v>2</v>
      </c>
      <c r="I35">
        <v>546</v>
      </c>
      <c r="J35">
        <v>5</v>
      </c>
      <c r="K35">
        <f>Table1_1[[#This Row],[TOTAL SALES]]*Table1_1[[#This Row],[Discount %]]/100</f>
        <v>54.6</v>
      </c>
      <c r="L35">
        <f>Table1_1[[#This Row],[TOTAL SALES]]-Table1_1[[#This Row],[Discount Amount]]</f>
        <v>1037.4000000000001</v>
      </c>
      <c r="M35" t="s">
        <v>22</v>
      </c>
      <c r="N35">
        <f>Table1_1[[#This Row],[Quantity]]*Table1_1[[#This Row],[Unit Price]]</f>
        <v>1092</v>
      </c>
      <c r="O35" t="s">
        <v>35</v>
      </c>
      <c r="P35" t="s">
        <v>24</v>
      </c>
      <c r="V35" s="3" t="s">
        <v>253</v>
      </c>
      <c r="W35">
        <v>100</v>
      </c>
    </row>
    <row r="36" spans="1:23" x14ac:dyDescent="0.25">
      <c r="A36" t="s">
        <v>112</v>
      </c>
      <c r="B36" s="1">
        <v>46113</v>
      </c>
      <c r="C36" t="s">
        <v>113</v>
      </c>
      <c r="D36" t="s">
        <v>38</v>
      </c>
      <c r="E36" t="s">
        <v>44</v>
      </c>
      <c r="F36" t="s">
        <v>71</v>
      </c>
      <c r="G36" t="s">
        <v>49</v>
      </c>
      <c r="H36">
        <v>10</v>
      </c>
      <c r="I36">
        <v>705</v>
      </c>
      <c r="J36">
        <v>0</v>
      </c>
      <c r="K36">
        <f>Table1_1[[#This Row],[TOTAL SALES]]*Table1_1[[#This Row],[Discount %]]/100</f>
        <v>0</v>
      </c>
      <c r="L36">
        <f>Table1_1[[#This Row],[TOTAL SALES]]-Table1_1[[#This Row],[Discount Amount]]</f>
        <v>7050</v>
      </c>
      <c r="M36" t="s">
        <v>34</v>
      </c>
      <c r="N36">
        <f>Table1_1[[#This Row],[Quantity]]*Table1_1[[#This Row],[Unit Price]]</f>
        <v>7050</v>
      </c>
      <c r="O36" t="s">
        <v>35</v>
      </c>
      <c r="P36" t="s">
        <v>50</v>
      </c>
    </row>
    <row r="37" spans="1:23" x14ac:dyDescent="0.25">
      <c r="A37" t="s">
        <v>114</v>
      </c>
      <c r="B37" s="1">
        <v>46141</v>
      </c>
      <c r="C37" t="s">
        <v>115</v>
      </c>
      <c r="D37" t="s">
        <v>38</v>
      </c>
      <c r="E37" t="s">
        <v>19</v>
      </c>
      <c r="F37" t="s">
        <v>20</v>
      </c>
      <c r="G37" t="s">
        <v>21</v>
      </c>
      <c r="H37">
        <v>4</v>
      </c>
      <c r="I37">
        <v>2514</v>
      </c>
      <c r="J37">
        <v>0</v>
      </c>
      <c r="K37">
        <f>Table1_1[[#This Row],[TOTAL SALES]]*Table1_1[[#This Row],[Discount %]]/100</f>
        <v>0</v>
      </c>
      <c r="L37">
        <f>Table1_1[[#This Row],[TOTAL SALES]]-Table1_1[[#This Row],[Discount Amount]]</f>
        <v>10056</v>
      </c>
      <c r="M37" t="s">
        <v>34</v>
      </c>
      <c r="N37">
        <f>Table1_1[[#This Row],[Quantity]]*Table1_1[[#This Row],[Unit Price]]</f>
        <v>10056</v>
      </c>
      <c r="O37" t="s">
        <v>23</v>
      </c>
      <c r="P37" t="s">
        <v>60</v>
      </c>
    </row>
    <row r="38" spans="1:23" x14ac:dyDescent="0.25">
      <c r="A38" t="s">
        <v>116</v>
      </c>
      <c r="B38" s="1">
        <v>46182</v>
      </c>
      <c r="C38" t="s">
        <v>117</v>
      </c>
      <c r="D38" t="s">
        <v>53</v>
      </c>
      <c r="E38" t="s">
        <v>44</v>
      </c>
      <c r="F38" t="s">
        <v>71</v>
      </c>
      <c r="G38" t="s">
        <v>33</v>
      </c>
      <c r="H38">
        <v>6</v>
      </c>
      <c r="I38">
        <v>1188</v>
      </c>
      <c r="J38">
        <v>0</v>
      </c>
      <c r="K38">
        <f>Table1_1[[#This Row],[TOTAL SALES]]*Table1_1[[#This Row],[Discount %]]/100</f>
        <v>0</v>
      </c>
      <c r="L38">
        <f>Table1_1[[#This Row],[TOTAL SALES]]-Table1_1[[#This Row],[Discount Amount]]</f>
        <v>7128</v>
      </c>
      <c r="M38" t="s">
        <v>34</v>
      </c>
      <c r="N38">
        <f>Table1_1[[#This Row],[Quantity]]*Table1_1[[#This Row],[Unit Price]]</f>
        <v>7128</v>
      </c>
      <c r="O38" t="s">
        <v>40</v>
      </c>
      <c r="P38" t="s">
        <v>50</v>
      </c>
    </row>
    <row r="39" spans="1:23" x14ac:dyDescent="0.25">
      <c r="A39" t="s">
        <v>118</v>
      </c>
      <c r="B39" s="1">
        <v>46087</v>
      </c>
      <c r="C39" t="s">
        <v>119</v>
      </c>
      <c r="D39" t="s">
        <v>53</v>
      </c>
      <c r="E39" t="s">
        <v>19</v>
      </c>
      <c r="F39" t="s">
        <v>56</v>
      </c>
      <c r="G39" t="s">
        <v>49</v>
      </c>
      <c r="H39">
        <v>6</v>
      </c>
      <c r="I39">
        <v>4718</v>
      </c>
      <c r="J39">
        <v>5</v>
      </c>
      <c r="K39">
        <f>Table1_1[[#This Row],[TOTAL SALES]]*Table1_1[[#This Row],[Discount %]]/100</f>
        <v>1415.4</v>
      </c>
      <c r="L39">
        <f>Table1_1[[#This Row],[TOTAL SALES]]-Table1_1[[#This Row],[Discount Amount]]</f>
        <v>26892.6</v>
      </c>
      <c r="M39" t="s">
        <v>34</v>
      </c>
      <c r="N39">
        <f>Table1_1[[#This Row],[Quantity]]*Table1_1[[#This Row],[Unit Price]]</f>
        <v>28308</v>
      </c>
      <c r="O39" t="s">
        <v>40</v>
      </c>
      <c r="P39" t="s">
        <v>50</v>
      </c>
    </row>
    <row r="40" spans="1:23" x14ac:dyDescent="0.25">
      <c r="A40" t="s">
        <v>120</v>
      </c>
      <c r="B40" s="1">
        <v>46181</v>
      </c>
      <c r="C40" t="s">
        <v>121</v>
      </c>
      <c r="D40" t="s">
        <v>38</v>
      </c>
      <c r="E40" t="s">
        <v>44</v>
      </c>
      <c r="F40" t="s">
        <v>45</v>
      </c>
      <c r="G40" t="s">
        <v>49</v>
      </c>
      <c r="H40">
        <v>8</v>
      </c>
      <c r="I40">
        <v>565</v>
      </c>
      <c r="J40">
        <v>15</v>
      </c>
      <c r="K40">
        <f>Table1_1[[#This Row],[TOTAL SALES]]*Table1_1[[#This Row],[Discount %]]/100</f>
        <v>678</v>
      </c>
      <c r="L40">
        <f>Table1_1[[#This Row],[TOTAL SALES]]-Table1_1[[#This Row],[Discount Amount]]</f>
        <v>3842</v>
      </c>
      <c r="M40" t="s">
        <v>34</v>
      </c>
      <c r="N40">
        <f>Table1_1[[#This Row],[Quantity]]*Table1_1[[#This Row],[Unit Price]]</f>
        <v>4520</v>
      </c>
      <c r="O40" t="s">
        <v>40</v>
      </c>
      <c r="P40" t="s">
        <v>50</v>
      </c>
    </row>
    <row r="41" spans="1:23" x14ac:dyDescent="0.25">
      <c r="A41" t="s">
        <v>122</v>
      </c>
      <c r="B41" s="1">
        <v>46063</v>
      </c>
      <c r="C41" t="s">
        <v>123</v>
      </c>
      <c r="D41" t="s">
        <v>38</v>
      </c>
      <c r="E41" t="s">
        <v>44</v>
      </c>
      <c r="F41" t="s">
        <v>45</v>
      </c>
      <c r="G41" t="s">
        <v>21</v>
      </c>
      <c r="H41">
        <v>3</v>
      </c>
      <c r="I41">
        <v>4102</v>
      </c>
      <c r="J41">
        <v>5</v>
      </c>
      <c r="K41">
        <f>Table1_1[[#This Row],[TOTAL SALES]]*Table1_1[[#This Row],[Discount %]]/100</f>
        <v>615.29999999999995</v>
      </c>
      <c r="L41">
        <f>Table1_1[[#This Row],[TOTAL SALES]]-Table1_1[[#This Row],[Discount Amount]]</f>
        <v>11690.7</v>
      </c>
      <c r="M41" t="s">
        <v>34</v>
      </c>
      <c r="N41">
        <f>Table1_1[[#This Row],[Quantity]]*Table1_1[[#This Row],[Unit Price]]</f>
        <v>12306</v>
      </c>
      <c r="O41" t="s">
        <v>23</v>
      </c>
      <c r="P41" t="s">
        <v>24</v>
      </c>
    </row>
    <row r="42" spans="1:23" x14ac:dyDescent="0.25">
      <c r="A42" t="s">
        <v>124</v>
      </c>
      <c r="B42" s="1">
        <v>46052</v>
      </c>
      <c r="C42" t="s">
        <v>125</v>
      </c>
      <c r="D42" t="s">
        <v>30</v>
      </c>
      <c r="E42" t="s">
        <v>19</v>
      </c>
      <c r="F42" t="s">
        <v>56</v>
      </c>
      <c r="G42" t="s">
        <v>21</v>
      </c>
      <c r="H42">
        <v>4</v>
      </c>
      <c r="I42">
        <v>713</v>
      </c>
      <c r="J42">
        <v>15</v>
      </c>
      <c r="K42">
        <f>Table1_1[[#This Row],[TOTAL SALES]]*Table1_1[[#This Row],[Discount %]]/100</f>
        <v>427.8</v>
      </c>
      <c r="L42">
        <f>Table1_1[[#This Row],[TOTAL SALES]]-Table1_1[[#This Row],[Discount Amount]]</f>
        <v>2424.1999999999998</v>
      </c>
      <c r="M42" t="s">
        <v>22</v>
      </c>
      <c r="N42">
        <f>Table1_1[[#This Row],[Quantity]]*Table1_1[[#This Row],[Unit Price]]</f>
        <v>2852</v>
      </c>
      <c r="O42" t="s">
        <v>23</v>
      </c>
      <c r="P42" t="s">
        <v>60</v>
      </c>
    </row>
    <row r="43" spans="1:23" x14ac:dyDescent="0.25">
      <c r="A43" t="s">
        <v>126</v>
      </c>
      <c r="B43" s="1">
        <v>46156</v>
      </c>
      <c r="C43" t="s">
        <v>127</v>
      </c>
      <c r="D43" t="s">
        <v>18</v>
      </c>
      <c r="E43" t="s">
        <v>19</v>
      </c>
      <c r="F43" t="s">
        <v>56</v>
      </c>
      <c r="G43" t="s">
        <v>33</v>
      </c>
      <c r="H43">
        <v>5</v>
      </c>
      <c r="I43">
        <v>2283</v>
      </c>
      <c r="J43">
        <v>15</v>
      </c>
      <c r="K43">
        <f>Table1_1[[#This Row],[TOTAL SALES]]*Table1_1[[#This Row],[Discount %]]/100</f>
        <v>1712.25</v>
      </c>
      <c r="L43">
        <f>Table1_1[[#This Row],[TOTAL SALES]]-Table1_1[[#This Row],[Discount Amount]]</f>
        <v>9702.75</v>
      </c>
      <c r="M43" t="s">
        <v>34</v>
      </c>
      <c r="N43">
        <f>Table1_1[[#This Row],[Quantity]]*Table1_1[[#This Row],[Unit Price]]</f>
        <v>11415</v>
      </c>
      <c r="O43" t="s">
        <v>35</v>
      </c>
      <c r="P43" t="s">
        <v>50</v>
      </c>
    </row>
    <row r="44" spans="1:23" x14ac:dyDescent="0.25">
      <c r="A44" t="s">
        <v>128</v>
      </c>
      <c r="B44" s="1">
        <v>46078</v>
      </c>
      <c r="C44" t="s">
        <v>129</v>
      </c>
      <c r="D44" t="s">
        <v>18</v>
      </c>
      <c r="E44" t="s">
        <v>44</v>
      </c>
      <c r="F44" t="s">
        <v>48</v>
      </c>
      <c r="G44" t="s">
        <v>57</v>
      </c>
      <c r="H44">
        <v>8</v>
      </c>
      <c r="I44">
        <v>1957</v>
      </c>
      <c r="J44">
        <v>10</v>
      </c>
      <c r="K44">
        <f>Table1_1[[#This Row],[TOTAL SALES]]*Table1_1[[#This Row],[Discount %]]/100</f>
        <v>1565.6</v>
      </c>
      <c r="L44">
        <f>Table1_1[[#This Row],[TOTAL SALES]]-Table1_1[[#This Row],[Discount Amount]]</f>
        <v>14090.4</v>
      </c>
      <c r="M44" t="s">
        <v>34</v>
      </c>
      <c r="N44">
        <f>Table1_1[[#This Row],[Quantity]]*Table1_1[[#This Row],[Unit Price]]</f>
        <v>15656</v>
      </c>
      <c r="O44" t="s">
        <v>23</v>
      </c>
      <c r="P44" t="s">
        <v>24</v>
      </c>
    </row>
    <row r="45" spans="1:23" x14ac:dyDescent="0.25">
      <c r="A45" t="s">
        <v>130</v>
      </c>
      <c r="B45" s="1">
        <v>46046</v>
      </c>
      <c r="C45" t="s">
        <v>131</v>
      </c>
      <c r="D45" t="s">
        <v>53</v>
      </c>
      <c r="E45" t="s">
        <v>31</v>
      </c>
      <c r="F45" t="s">
        <v>32</v>
      </c>
      <c r="G45" t="s">
        <v>57</v>
      </c>
      <c r="H45">
        <v>10</v>
      </c>
      <c r="I45">
        <v>2544</v>
      </c>
      <c r="J45">
        <v>5</v>
      </c>
      <c r="K45">
        <f>Table1_1[[#This Row],[TOTAL SALES]]*Table1_1[[#This Row],[Discount %]]/100</f>
        <v>1272</v>
      </c>
      <c r="L45">
        <f>Table1_1[[#This Row],[TOTAL SALES]]-Table1_1[[#This Row],[Discount Amount]]</f>
        <v>24168</v>
      </c>
      <c r="M45" t="s">
        <v>34</v>
      </c>
      <c r="N45">
        <f>Table1_1[[#This Row],[Quantity]]*Table1_1[[#This Row],[Unit Price]]</f>
        <v>25440</v>
      </c>
      <c r="O45" t="s">
        <v>23</v>
      </c>
      <c r="P45" t="s">
        <v>27</v>
      </c>
    </row>
    <row r="46" spans="1:23" x14ac:dyDescent="0.25">
      <c r="A46" t="s">
        <v>132</v>
      </c>
      <c r="B46" s="1">
        <v>46180</v>
      </c>
      <c r="C46" t="s">
        <v>133</v>
      </c>
      <c r="D46" t="s">
        <v>38</v>
      </c>
      <c r="E46" t="s">
        <v>31</v>
      </c>
      <c r="F46" t="s">
        <v>32</v>
      </c>
      <c r="G46" t="s">
        <v>49</v>
      </c>
      <c r="H46">
        <v>1</v>
      </c>
      <c r="I46">
        <v>353</v>
      </c>
      <c r="J46">
        <v>15</v>
      </c>
      <c r="K46">
        <f>Table1_1[[#This Row],[TOTAL SALES]]*Table1_1[[#This Row],[Discount %]]/100</f>
        <v>52.95</v>
      </c>
      <c r="L46">
        <f>Table1_1[[#This Row],[TOTAL SALES]]-Table1_1[[#This Row],[Discount Amount]]</f>
        <v>300.05</v>
      </c>
      <c r="M46" t="s">
        <v>34</v>
      </c>
      <c r="N46">
        <f>Table1_1[[#This Row],[Quantity]]*Table1_1[[#This Row],[Unit Price]]</f>
        <v>353</v>
      </c>
      <c r="O46" t="s">
        <v>35</v>
      </c>
      <c r="P46" t="s">
        <v>50</v>
      </c>
    </row>
    <row r="47" spans="1:23" x14ac:dyDescent="0.25">
      <c r="A47" t="s">
        <v>134</v>
      </c>
      <c r="B47" s="1">
        <v>46162</v>
      </c>
      <c r="C47" t="s">
        <v>135</v>
      </c>
      <c r="D47" t="s">
        <v>43</v>
      </c>
      <c r="E47" t="s">
        <v>31</v>
      </c>
      <c r="F47" t="s">
        <v>39</v>
      </c>
      <c r="G47" t="s">
        <v>57</v>
      </c>
      <c r="H47">
        <v>9</v>
      </c>
      <c r="I47">
        <v>4928</v>
      </c>
      <c r="J47">
        <v>0</v>
      </c>
      <c r="K47">
        <f>Table1_1[[#This Row],[TOTAL SALES]]*Table1_1[[#This Row],[Discount %]]/100</f>
        <v>0</v>
      </c>
      <c r="L47">
        <f>Table1_1[[#This Row],[TOTAL SALES]]-Table1_1[[#This Row],[Discount Amount]]</f>
        <v>44352</v>
      </c>
      <c r="M47" t="s">
        <v>22</v>
      </c>
      <c r="N47">
        <f>Table1_1[[#This Row],[Quantity]]*Table1_1[[#This Row],[Unit Price]]</f>
        <v>44352</v>
      </c>
      <c r="O47" t="s">
        <v>23</v>
      </c>
      <c r="P47" t="s">
        <v>50</v>
      </c>
    </row>
    <row r="48" spans="1:23" x14ac:dyDescent="0.25">
      <c r="A48" t="s">
        <v>136</v>
      </c>
      <c r="B48" s="1">
        <v>46078</v>
      </c>
      <c r="C48" t="s">
        <v>137</v>
      </c>
      <c r="D48" t="s">
        <v>38</v>
      </c>
      <c r="E48" t="s">
        <v>19</v>
      </c>
      <c r="F48" t="s">
        <v>20</v>
      </c>
      <c r="G48" t="s">
        <v>57</v>
      </c>
      <c r="H48">
        <v>9</v>
      </c>
      <c r="I48">
        <v>1271</v>
      </c>
      <c r="J48">
        <v>15</v>
      </c>
      <c r="K48">
        <f>Table1_1[[#This Row],[TOTAL SALES]]*Table1_1[[#This Row],[Discount %]]/100</f>
        <v>1715.85</v>
      </c>
      <c r="L48">
        <f>Table1_1[[#This Row],[TOTAL SALES]]-Table1_1[[#This Row],[Discount Amount]]</f>
        <v>9723.15</v>
      </c>
      <c r="M48" t="s">
        <v>22</v>
      </c>
      <c r="N48">
        <f>Table1_1[[#This Row],[Quantity]]*Table1_1[[#This Row],[Unit Price]]</f>
        <v>11439</v>
      </c>
      <c r="O48" t="s">
        <v>23</v>
      </c>
      <c r="P48" t="s">
        <v>60</v>
      </c>
    </row>
    <row r="49" spans="1:16" x14ac:dyDescent="0.25">
      <c r="A49" t="s">
        <v>138</v>
      </c>
      <c r="B49" s="1">
        <v>46052</v>
      </c>
      <c r="C49" t="s">
        <v>139</v>
      </c>
      <c r="D49" t="s">
        <v>53</v>
      </c>
      <c r="E49" t="s">
        <v>19</v>
      </c>
      <c r="F49" t="s">
        <v>20</v>
      </c>
      <c r="G49" t="s">
        <v>49</v>
      </c>
      <c r="H49">
        <v>6</v>
      </c>
      <c r="I49">
        <v>4683</v>
      </c>
      <c r="J49">
        <v>15</v>
      </c>
      <c r="K49">
        <f>Table1_1[[#This Row],[TOTAL SALES]]*Table1_1[[#This Row],[Discount %]]/100</f>
        <v>4214.7</v>
      </c>
      <c r="L49">
        <f>Table1_1[[#This Row],[TOTAL SALES]]-Table1_1[[#This Row],[Discount Amount]]</f>
        <v>23883.3</v>
      </c>
      <c r="M49" t="s">
        <v>34</v>
      </c>
      <c r="N49">
        <f>Table1_1[[#This Row],[Quantity]]*Table1_1[[#This Row],[Unit Price]]</f>
        <v>28098</v>
      </c>
      <c r="O49" t="s">
        <v>35</v>
      </c>
      <c r="P49" t="s">
        <v>27</v>
      </c>
    </row>
    <row r="50" spans="1:16" x14ac:dyDescent="0.25">
      <c r="A50" t="s">
        <v>140</v>
      </c>
      <c r="B50" s="1">
        <v>46189</v>
      </c>
      <c r="C50" t="s">
        <v>141</v>
      </c>
      <c r="D50" t="s">
        <v>38</v>
      </c>
      <c r="E50" t="s">
        <v>31</v>
      </c>
      <c r="F50" t="s">
        <v>32</v>
      </c>
      <c r="G50" t="s">
        <v>57</v>
      </c>
      <c r="H50">
        <v>7</v>
      </c>
      <c r="I50">
        <v>2360</v>
      </c>
      <c r="J50">
        <v>10</v>
      </c>
      <c r="K50">
        <f>Table1_1[[#This Row],[TOTAL SALES]]*Table1_1[[#This Row],[Discount %]]/100</f>
        <v>1652</v>
      </c>
      <c r="L50">
        <f>Table1_1[[#This Row],[TOTAL SALES]]-Table1_1[[#This Row],[Discount Amount]]</f>
        <v>14868</v>
      </c>
      <c r="M50" t="s">
        <v>22</v>
      </c>
      <c r="N50">
        <f>Table1_1[[#This Row],[Quantity]]*Table1_1[[#This Row],[Unit Price]]</f>
        <v>16520</v>
      </c>
      <c r="O50" t="s">
        <v>35</v>
      </c>
      <c r="P50" t="s">
        <v>60</v>
      </c>
    </row>
    <row r="51" spans="1:16" x14ac:dyDescent="0.25">
      <c r="A51" t="s">
        <v>142</v>
      </c>
      <c r="B51" s="1">
        <v>46054</v>
      </c>
      <c r="C51" t="s">
        <v>143</v>
      </c>
      <c r="D51" t="s">
        <v>53</v>
      </c>
      <c r="E51" t="s">
        <v>31</v>
      </c>
      <c r="F51" t="s">
        <v>32</v>
      </c>
      <c r="G51" t="s">
        <v>57</v>
      </c>
      <c r="H51">
        <v>10</v>
      </c>
      <c r="I51">
        <v>385</v>
      </c>
      <c r="J51">
        <v>0</v>
      </c>
      <c r="K51">
        <f>Table1_1[[#This Row],[TOTAL SALES]]*Table1_1[[#This Row],[Discount %]]/100</f>
        <v>0</v>
      </c>
      <c r="L51">
        <f>Table1_1[[#This Row],[TOTAL SALES]]-Table1_1[[#This Row],[Discount Amount]]</f>
        <v>3850</v>
      </c>
      <c r="M51" t="s">
        <v>34</v>
      </c>
      <c r="N51">
        <f>Table1_1[[#This Row],[Quantity]]*Table1_1[[#This Row],[Unit Price]]</f>
        <v>3850</v>
      </c>
      <c r="O51" t="s">
        <v>35</v>
      </c>
      <c r="P51" t="s">
        <v>27</v>
      </c>
    </row>
    <row r="52" spans="1:16" x14ac:dyDescent="0.25">
      <c r="A52" t="s">
        <v>144</v>
      </c>
      <c r="B52" s="1">
        <v>46110</v>
      </c>
      <c r="C52" t="s">
        <v>145</v>
      </c>
      <c r="D52" t="s">
        <v>53</v>
      </c>
      <c r="E52" t="s">
        <v>31</v>
      </c>
      <c r="F52" t="s">
        <v>32</v>
      </c>
      <c r="G52" t="s">
        <v>21</v>
      </c>
      <c r="H52">
        <v>5</v>
      </c>
      <c r="I52">
        <v>1649</v>
      </c>
      <c r="J52">
        <v>5</v>
      </c>
      <c r="K52">
        <f>Table1_1[[#This Row],[TOTAL SALES]]*Table1_1[[#This Row],[Discount %]]/100</f>
        <v>412.25</v>
      </c>
      <c r="L52">
        <f>Table1_1[[#This Row],[TOTAL SALES]]-Table1_1[[#This Row],[Discount Amount]]</f>
        <v>7832.75</v>
      </c>
      <c r="M52" t="s">
        <v>22</v>
      </c>
      <c r="N52">
        <f>Table1_1[[#This Row],[Quantity]]*Table1_1[[#This Row],[Unit Price]]</f>
        <v>8245</v>
      </c>
      <c r="O52" t="s">
        <v>35</v>
      </c>
      <c r="P52" t="s">
        <v>60</v>
      </c>
    </row>
    <row r="53" spans="1:16" x14ac:dyDescent="0.25">
      <c r="A53" t="s">
        <v>146</v>
      </c>
      <c r="B53" s="1">
        <v>46033</v>
      </c>
      <c r="C53" t="s">
        <v>147</v>
      </c>
      <c r="D53" t="s">
        <v>30</v>
      </c>
      <c r="E53" t="s">
        <v>44</v>
      </c>
      <c r="F53" t="s">
        <v>45</v>
      </c>
      <c r="G53" t="s">
        <v>21</v>
      </c>
      <c r="H53">
        <v>7</v>
      </c>
      <c r="I53">
        <v>4810</v>
      </c>
      <c r="J53">
        <v>0</v>
      </c>
      <c r="K53">
        <f>Table1_1[[#This Row],[TOTAL SALES]]*Table1_1[[#This Row],[Discount %]]/100</f>
        <v>0</v>
      </c>
      <c r="L53">
        <f>Table1_1[[#This Row],[TOTAL SALES]]-Table1_1[[#This Row],[Discount Amount]]</f>
        <v>33670</v>
      </c>
      <c r="M53" t="s">
        <v>22</v>
      </c>
      <c r="N53">
        <f>Table1_1[[#This Row],[Quantity]]*Table1_1[[#This Row],[Unit Price]]</f>
        <v>33670</v>
      </c>
      <c r="O53" t="s">
        <v>40</v>
      </c>
      <c r="P53" t="s">
        <v>60</v>
      </c>
    </row>
    <row r="54" spans="1:16" x14ac:dyDescent="0.25">
      <c r="A54" t="s">
        <v>148</v>
      </c>
      <c r="B54" s="1">
        <v>46146</v>
      </c>
      <c r="C54" t="s">
        <v>149</v>
      </c>
      <c r="D54" t="s">
        <v>30</v>
      </c>
      <c r="E54" t="s">
        <v>31</v>
      </c>
      <c r="F54" t="s">
        <v>39</v>
      </c>
      <c r="G54" t="s">
        <v>33</v>
      </c>
      <c r="H54">
        <v>7</v>
      </c>
      <c r="I54">
        <v>1749</v>
      </c>
      <c r="J54">
        <v>15</v>
      </c>
      <c r="K54">
        <f>Table1_1[[#This Row],[TOTAL SALES]]*Table1_1[[#This Row],[Discount %]]/100</f>
        <v>1836.45</v>
      </c>
      <c r="L54">
        <f>Table1_1[[#This Row],[TOTAL SALES]]-Table1_1[[#This Row],[Discount Amount]]</f>
        <v>10406.549999999999</v>
      </c>
      <c r="M54" t="s">
        <v>22</v>
      </c>
      <c r="N54">
        <f>Table1_1[[#This Row],[Quantity]]*Table1_1[[#This Row],[Unit Price]]</f>
        <v>12243</v>
      </c>
      <c r="O54" t="s">
        <v>23</v>
      </c>
      <c r="P54" t="s">
        <v>60</v>
      </c>
    </row>
    <row r="55" spans="1:16" x14ac:dyDescent="0.25">
      <c r="A55" t="s">
        <v>150</v>
      </c>
      <c r="B55" s="1">
        <v>46203</v>
      </c>
      <c r="C55" t="s">
        <v>151</v>
      </c>
      <c r="D55" t="s">
        <v>53</v>
      </c>
      <c r="E55" t="s">
        <v>19</v>
      </c>
      <c r="F55" t="s">
        <v>20</v>
      </c>
      <c r="G55" t="s">
        <v>57</v>
      </c>
      <c r="H55">
        <v>8</v>
      </c>
      <c r="I55">
        <v>1461</v>
      </c>
      <c r="J55">
        <v>10</v>
      </c>
      <c r="K55">
        <f>Table1_1[[#This Row],[TOTAL SALES]]*Table1_1[[#This Row],[Discount %]]/100</f>
        <v>1168.8</v>
      </c>
      <c r="L55">
        <f>Table1_1[[#This Row],[TOTAL SALES]]-Table1_1[[#This Row],[Discount Amount]]</f>
        <v>10519.2</v>
      </c>
      <c r="M55" t="s">
        <v>22</v>
      </c>
      <c r="N55">
        <f>Table1_1[[#This Row],[Quantity]]*Table1_1[[#This Row],[Unit Price]]</f>
        <v>11688</v>
      </c>
      <c r="O55" t="s">
        <v>40</v>
      </c>
      <c r="P55" t="s">
        <v>27</v>
      </c>
    </row>
    <row r="56" spans="1:16" x14ac:dyDescent="0.25">
      <c r="A56" t="s">
        <v>152</v>
      </c>
      <c r="B56" s="1">
        <v>46066</v>
      </c>
      <c r="C56" t="s">
        <v>153</v>
      </c>
      <c r="D56" t="s">
        <v>43</v>
      </c>
      <c r="E56" t="s">
        <v>31</v>
      </c>
      <c r="F56" t="s">
        <v>39</v>
      </c>
      <c r="G56" t="s">
        <v>21</v>
      </c>
      <c r="H56">
        <v>1</v>
      </c>
      <c r="I56">
        <v>941</v>
      </c>
      <c r="J56">
        <v>0</v>
      </c>
      <c r="K56">
        <f>Table1_1[[#This Row],[TOTAL SALES]]*Table1_1[[#This Row],[Discount %]]/100</f>
        <v>0</v>
      </c>
      <c r="L56">
        <f>Table1_1[[#This Row],[TOTAL SALES]]-Table1_1[[#This Row],[Discount Amount]]</f>
        <v>941</v>
      </c>
      <c r="M56" t="s">
        <v>22</v>
      </c>
      <c r="N56">
        <f>Table1_1[[#This Row],[Quantity]]*Table1_1[[#This Row],[Unit Price]]</f>
        <v>941</v>
      </c>
      <c r="O56" t="s">
        <v>23</v>
      </c>
      <c r="P56" t="s">
        <v>27</v>
      </c>
    </row>
    <row r="57" spans="1:16" x14ac:dyDescent="0.25">
      <c r="A57" t="s">
        <v>154</v>
      </c>
      <c r="B57" s="1">
        <v>46163</v>
      </c>
      <c r="C57" t="s">
        <v>155</v>
      </c>
      <c r="D57" t="s">
        <v>53</v>
      </c>
      <c r="E57" t="s">
        <v>31</v>
      </c>
      <c r="F57" t="s">
        <v>32</v>
      </c>
      <c r="G57" t="s">
        <v>21</v>
      </c>
      <c r="H57">
        <v>3</v>
      </c>
      <c r="I57">
        <v>1245</v>
      </c>
      <c r="J57">
        <v>0</v>
      </c>
      <c r="K57">
        <f>Table1_1[[#This Row],[TOTAL SALES]]*Table1_1[[#This Row],[Discount %]]/100</f>
        <v>0</v>
      </c>
      <c r="L57">
        <f>Table1_1[[#This Row],[TOTAL SALES]]-Table1_1[[#This Row],[Discount Amount]]</f>
        <v>3735</v>
      </c>
      <c r="M57" t="s">
        <v>22</v>
      </c>
      <c r="N57">
        <f>Table1_1[[#This Row],[Quantity]]*Table1_1[[#This Row],[Unit Price]]</f>
        <v>3735</v>
      </c>
      <c r="O57" t="s">
        <v>40</v>
      </c>
      <c r="P57" t="s">
        <v>27</v>
      </c>
    </row>
    <row r="58" spans="1:16" x14ac:dyDescent="0.25">
      <c r="A58" t="s">
        <v>156</v>
      </c>
      <c r="B58" s="1">
        <v>46096</v>
      </c>
      <c r="C58" t="s">
        <v>157</v>
      </c>
      <c r="D58" t="s">
        <v>53</v>
      </c>
      <c r="E58" t="s">
        <v>31</v>
      </c>
      <c r="F58" t="s">
        <v>39</v>
      </c>
      <c r="G58" t="s">
        <v>57</v>
      </c>
      <c r="H58">
        <v>5</v>
      </c>
      <c r="I58">
        <v>3559</v>
      </c>
      <c r="J58">
        <v>5</v>
      </c>
      <c r="K58">
        <f>Table1_1[[#This Row],[TOTAL SALES]]*Table1_1[[#This Row],[Discount %]]/100</f>
        <v>889.75</v>
      </c>
      <c r="L58">
        <f>Table1_1[[#This Row],[TOTAL SALES]]-Table1_1[[#This Row],[Discount Amount]]</f>
        <v>16905.25</v>
      </c>
      <c r="M58" t="s">
        <v>34</v>
      </c>
      <c r="N58">
        <f>Table1_1[[#This Row],[Quantity]]*Table1_1[[#This Row],[Unit Price]]</f>
        <v>17795</v>
      </c>
      <c r="O58" t="s">
        <v>40</v>
      </c>
      <c r="P58" t="s">
        <v>24</v>
      </c>
    </row>
    <row r="59" spans="1:16" x14ac:dyDescent="0.25">
      <c r="A59" t="s">
        <v>158</v>
      </c>
      <c r="B59" s="1">
        <v>46081</v>
      </c>
      <c r="C59" t="s">
        <v>159</v>
      </c>
      <c r="D59" t="s">
        <v>30</v>
      </c>
      <c r="E59" t="s">
        <v>19</v>
      </c>
      <c r="F59" t="s">
        <v>20</v>
      </c>
      <c r="G59" t="s">
        <v>57</v>
      </c>
      <c r="H59">
        <v>4</v>
      </c>
      <c r="I59">
        <v>1204</v>
      </c>
      <c r="J59">
        <v>10</v>
      </c>
      <c r="K59">
        <f>Table1_1[[#This Row],[TOTAL SALES]]*Table1_1[[#This Row],[Discount %]]/100</f>
        <v>481.6</v>
      </c>
      <c r="L59">
        <f>Table1_1[[#This Row],[TOTAL SALES]]-Table1_1[[#This Row],[Discount Amount]]</f>
        <v>4334.3999999999996</v>
      </c>
      <c r="M59" t="s">
        <v>34</v>
      </c>
      <c r="N59">
        <f>Table1_1[[#This Row],[Quantity]]*Table1_1[[#This Row],[Unit Price]]</f>
        <v>4816</v>
      </c>
      <c r="O59" t="s">
        <v>35</v>
      </c>
      <c r="P59" t="s">
        <v>60</v>
      </c>
    </row>
    <row r="60" spans="1:16" x14ac:dyDescent="0.25">
      <c r="A60" t="s">
        <v>160</v>
      </c>
      <c r="B60" s="1">
        <v>46045</v>
      </c>
      <c r="C60" t="s">
        <v>161</v>
      </c>
      <c r="D60" t="s">
        <v>38</v>
      </c>
      <c r="E60" t="s">
        <v>19</v>
      </c>
      <c r="F60" t="s">
        <v>20</v>
      </c>
      <c r="G60" t="s">
        <v>33</v>
      </c>
      <c r="H60">
        <v>10</v>
      </c>
      <c r="I60">
        <v>435</v>
      </c>
      <c r="J60">
        <v>10</v>
      </c>
      <c r="K60">
        <f>Table1_1[[#This Row],[TOTAL SALES]]*Table1_1[[#This Row],[Discount %]]/100</f>
        <v>435</v>
      </c>
      <c r="L60">
        <f>Table1_1[[#This Row],[TOTAL SALES]]-Table1_1[[#This Row],[Discount Amount]]</f>
        <v>3915</v>
      </c>
      <c r="M60" t="s">
        <v>22</v>
      </c>
      <c r="N60">
        <f>Table1_1[[#This Row],[Quantity]]*Table1_1[[#This Row],[Unit Price]]</f>
        <v>4350</v>
      </c>
      <c r="O60" t="s">
        <v>23</v>
      </c>
      <c r="P60" t="s">
        <v>60</v>
      </c>
    </row>
    <row r="61" spans="1:16" x14ac:dyDescent="0.25">
      <c r="A61" t="s">
        <v>162</v>
      </c>
      <c r="B61" s="1">
        <v>46074</v>
      </c>
      <c r="C61" t="s">
        <v>163</v>
      </c>
      <c r="D61" t="s">
        <v>30</v>
      </c>
      <c r="E61" t="s">
        <v>31</v>
      </c>
      <c r="F61" t="s">
        <v>32</v>
      </c>
      <c r="G61" t="s">
        <v>57</v>
      </c>
      <c r="H61">
        <v>4</v>
      </c>
      <c r="I61">
        <v>4428</v>
      </c>
      <c r="J61">
        <v>0</v>
      </c>
      <c r="K61">
        <f>Table1_1[[#This Row],[TOTAL SALES]]*Table1_1[[#This Row],[Discount %]]/100</f>
        <v>0</v>
      </c>
      <c r="L61">
        <f>Table1_1[[#This Row],[TOTAL SALES]]-Table1_1[[#This Row],[Discount Amount]]</f>
        <v>17712</v>
      </c>
      <c r="M61" t="s">
        <v>34</v>
      </c>
      <c r="N61">
        <f>Table1_1[[#This Row],[Quantity]]*Table1_1[[#This Row],[Unit Price]]</f>
        <v>17712</v>
      </c>
      <c r="O61" t="s">
        <v>40</v>
      </c>
      <c r="P61" t="s">
        <v>27</v>
      </c>
    </row>
    <row r="62" spans="1:16" x14ac:dyDescent="0.25">
      <c r="A62" t="s">
        <v>164</v>
      </c>
      <c r="B62" s="1">
        <v>46067</v>
      </c>
      <c r="C62" t="s">
        <v>165</v>
      </c>
      <c r="D62" t="s">
        <v>43</v>
      </c>
      <c r="E62" t="s">
        <v>19</v>
      </c>
      <c r="F62" t="s">
        <v>56</v>
      </c>
      <c r="G62" t="s">
        <v>49</v>
      </c>
      <c r="H62">
        <v>4</v>
      </c>
      <c r="I62">
        <v>2146</v>
      </c>
      <c r="J62">
        <v>5</v>
      </c>
      <c r="K62">
        <f>Table1_1[[#This Row],[TOTAL SALES]]*Table1_1[[#This Row],[Discount %]]/100</f>
        <v>429.2</v>
      </c>
      <c r="L62">
        <f>Table1_1[[#This Row],[TOTAL SALES]]-Table1_1[[#This Row],[Discount Amount]]</f>
        <v>8154.8</v>
      </c>
      <c r="M62" t="s">
        <v>34</v>
      </c>
      <c r="N62">
        <f>Table1_1[[#This Row],[Quantity]]*Table1_1[[#This Row],[Unit Price]]</f>
        <v>8584</v>
      </c>
      <c r="O62" t="s">
        <v>40</v>
      </c>
      <c r="P62" t="s">
        <v>60</v>
      </c>
    </row>
    <row r="63" spans="1:16" x14ac:dyDescent="0.25">
      <c r="A63" t="s">
        <v>166</v>
      </c>
      <c r="B63" s="1">
        <v>46092</v>
      </c>
      <c r="C63" t="s">
        <v>167</v>
      </c>
      <c r="D63" t="s">
        <v>30</v>
      </c>
      <c r="E63" t="s">
        <v>44</v>
      </c>
      <c r="F63" t="s">
        <v>45</v>
      </c>
      <c r="G63" t="s">
        <v>33</v>
      </c>
      <c r="H63">
        <v>4</v>
      </c>
      <c r="I63">
        <v>1168</v>
      </c>
      <c r="J63">
        <v>15</v>
      </c>
      <c r="K63">
        <f>Table1_1[[#This Row],[TOTAL SALES]]*Table1_1[[#This Row],[Discount %]]/100</f>
        <v>700.8</v>
      </c>
      <c r="L63">
        <f>Table1_1[[#This Row],[TOTAL SALES]]-Table1_1[[#This Row],[Discount Amount]]</f>
        <v>3971.2</v>
      </c>
      <c r="M63" t="s">
        <v>34</v>
      </c>
      <c r="N63">
        <f>Table1_1[[#This Row],[Quantity]]*Table1_1[[#This Row],[Unit Price]]</f>
        <v>4672</v>
      </c>
      <c r="O63" t="s">
        <v>35</v>
      </c>
      <c r="P63" t="s">
        <v>27</v>
      </c>
    </row>
    <row r="64" spans="1:16" x14ac:dyDescent="0.25">
      <c r="A64" t="s">
        <v>168</v>
      </c>
      <c r="B64" s="1">
        <v>46059</v>
      </c>
      <c r="C64" t="s">
        <v>169</v>
      </c>
      <c r="D64" t="s">
        <v>30</v>
      </c>
      <c r="E64" t="s">
        <v>44</v>
      </c>
      <c r="F64" t="s">
        <v>48</v>
      </c>
      <c r="G64" t="s">
        <v>57</v>
      </c>
      <c r="H64">
        <v>6</v>
      </c>
      <c r="I64">
        <v>4798</v>
      </c>
      <c r="J64">
        <v>10</v>
      </c>
      <c r="K64">
        <f>Table1_1[[#This Row],[TOTAL SALES]]*Table1_1[[#This Row],[Discount %]]/100</f>
        <v>2878.8</v>
      </c>
      <c r="L64">
        <f>Table1_1[[#This Row],[TOTAL SALES]]-Table1_1[[#This Row],[Discount Amount]]</f>
        <v>25909.200000000001</v>
      </c>
      <c r="M64" t="s">
        <v>34</v>
      </c>
      <c r="N64">
        <f>Table1_1[[#This Row],[Quantity]]*Table1_1[[#This Row],[Unit Price]]</f>
        <v>28788</v>
      </c>
      <c r="O64" t="s">
        <v>40</v>
      </c>
      <c r="P64" t="s">
        <v>24</v>
      </c>
    </row>
    <row r="65" spans="1:16" x14ac:dyDescent="0.25">
      <c r="A65" t="s">
        <v>170</v>
      </c>
      <c r="B65" s="1">
        <v>46082</v>
      </c>
      <c r="C65" t="s">
        <v>171</v>
      </c>
      <c r="D65" t="s">
        <v>53</v>
      </c>
      <c r="E65" t="s">
        <v>44</v>
      </c>
      <c r="F65" t="s">
        <v>71</v>
      </c>
      <c r="G65" t="s">
        <v>33</v>
      </c>
      <c r="H65">
        <v>3</v>
      </c>
      <c r="I65">
        <v>2000</v>
      </c>
      <c r="J65">
        <v>10</v>
      </c>
      <c r="K65">
        <f>Table1_1[[#This Row],[TOTAL SALES]]*Table1_1[[#This Row],[Discount %]]/100</f>
        <v>600</v>
      </c>
      <c r="L65">
        <f>Table1_1[[#This Row],[TOTAL SALES]]-Table1_1[[#This Row],[Discount Amount]]</f>
        <v>5400</v>
      </c>
      <c r="M65" t="s">
        <v>34</v>
      </c>
      <c r="N65">
        <f>Table1_1[[#This Row],[Quantity]]*Table1_1[[#This Row],[Unit Price]]</f>
        <v>6000</v>
      </c>
      <c r="O65" t="s">
        <v>40</v>
      </c>
      <c r="P65" t="s">
        <v>27</v>
      </c>
    </row>
    <row r="66" spans="1:16" x14ac:dyDescent="0.25">
      <c r="A66" t="s">
        <v>172</v>
      </c>
      <c r="B66" s="1">
        <v>46115</v>
      </c>
      <c r="C66" t="s">
        <v>173</v>
      </c>
      <c r="D66" t="s">
        <v>30</v>
      </c>
      <c r="E66" t="s">
        <v>19</v>
      </c>
      <c r="F66" t="s">
        <v>56</v>
      </c>
      <c r="G66" t="s">
        <v>49</v>
      </c>
      <c r="H66">
        <v>4</v>
      </c>
      <c r="I66">
        <v>3282</v>
      </c>
      <c r="J66">
        <v>15</v>
      </c>
      <c r="K66">
        <f>Table1_1[[#This Row],[TOTAL SALES]]*Table1_1[[#This Row],[Discount %]]/100</f>
        <v>1969.2</v>
      </c>
      <c r="L66">
        <f>Table1_1[[#This Row],[TOTAL SALES]]-Table1_1[[#This Row],[Discount Amount]]</f>
        <v>11158.8</v>
      </c>
      <c r="M66" t="s">
        <v>34</v>
      </c>
      <c r="N66">
        <f>Table1_1[[#This Row],[Quantity]]*Table1_1[[#This Row],[Unit Price]]</f>
        <v>13128</v>
      </c>
      <c r="O66" t="s">
        <v>35</v>
      </c>
      <c r="P66" t="s">
        <v>60</v>
      </c>
    </row>
    <row r="67" spans="1:16" x14ac:dyDescent="0.25">
      <c r="A67" t="s">
        <v>174</v>
      </c>
      <c r="B67" s="1">
        <v>46067</v>
      </c>
      <c r="C67" t="s">
        <v>175</v>
      </c>
      <c r="D67" t="s">
        <v>43</v>
      </c>
      <c r="E67" t="s">
        <v>19</v>
      </c>
      <c r="F67" t="s">
        <v>56</v>
      </c>
      <c r="G67" t="s">
        <v>21</v>
      </c>
      <c r="H67">
        <v>6</v>
      </c>
      <c r="I67">
        <v>584</v>
      </c>
      <c r="J67">
        <v>15</v>
      </c>
      <c r="K67">
        <f>Table1_1[[#This Row],[TOTAL SALES]]*Table1_1[[#This Row],[Discount %]]/100</f>
        <v>525.6</v>
      </c>
      <c r="L67">
        <f>Table1_1[[#This Row],[TOTAL SALES]]-Table1_1[[#This Row],[Discount Amount]]</f>
        <v>2978.4</v>
      </c>
      <c r="M67" t="s">
        <v>22</v>
      </c>
      <c r="N67">
        <f>Table1_1[[#This Row],[Quantity]]*Table1_1[[#This Row],[Unit Price]]</f>
        <v>3504</v>
      </c>
      <c r="O67" t="s">
        <v>40</v>
      </c>
      <c r="P67" t="s">
        <v>50</v>
      </c>
    </row>
    <row r="68" spans="1:16" x14ac:dyDescent="0.25">
      <c r="A68" t="s">
        <v>176</v>
      </c>
      <c r="B68" s="1">
        <v>46032</v>
      </c>
      <c r="C68" t="s">
        <v>177</v>
      </c>
      <c r="D68" t="s">
        <v>43</v>
      </c>
      <c r="E68" t="s">
        <v>31</v>
      </c>
      <c r="F68" t="s">
        <v>32</v>
      </c>
      <c r="G68" t="s">
        <v>21</v>
      </c>
      <c r="H68">
        <v>2</v>
      </c>
      <c r="I68">
        <v>1798</v>
      </c>
      <c r="J68">
        <v>10</v>
      </c>
      <c r="K68">
        <f>Table1_1[[#This Row],[TOTAL SALES]]*Table1_1[[#This Row],[Discount %]]/100</f>
        <v>359.6</v>
      </c>
      <c r="L68">
        <f>Table1_1[[#This Row],[TOTAL SALES]]-Table1_1[[#This Row],[Discount Amount]]</f>
        <v>3236.4</v>
      </c>
      <c r="M68" t="s">
        <v>22</v>
      </c>
      <c r="N68">
        <f>Table1_1[[#This Row],[Quantity]]*Table1_1[[#This Row],[Unit Price]]</f>
        <v>3596</v>
      </c>
      <c r="O68" t="s">
        <v>35</v>
      </c>
      <c r="P68" t="s">
        <v>27</v>
      </c>
    </row>
    <row r="69" spans="1:16" x14ac:dyDescent="0.25">
      <c r="A69" t="s">
        <v>178</v>
      </c>
      <c r="B69" s="1">
        <v>46061</v>
      </c>
      <c r="C69" t="s">
        <v>179</v>
      </c>
      <c r="D69" t="s">
        <v>18</v>
      </c>
      <c r="E69" t="s">
        <v>19</v>
      </c>
      <c r="F69" t="s">
        <v>20</v>
      </c>
      <c r="G69" t="s">
        <v>21</v>
      </c>
      <c r="H69">
        <v>6</v>
      </c>
      <c r="I69">
        <v>3099</v>
      </c>
      <c r="J69">
        <v>5</v>
      </c>
      <c r="K69">
        <f>Table1_1[[#This Row],[TOTAL SALES]]*Table1_1[[#This Row],[Discount %]]/100</f>
        <v>929.7</v>
      </c>
      <c r="L69">
        <f>Table1_1[[#This Row],[TOTAL SALES]]-Table1_1[[#This Row],[Discount Amount]]</f>
        <v>17664.3</v>
      </c>
      <c r="M69" t="s">
        <v>34</v>
      </c>
      <c r="N69">
        <f>Table1_1[[#This Row],[Quantity]]*Table1_1[[#This Row],[Unit Price]]</f>
        <v>18594</v>
      </c>
      <c r="O69" t="s">
        <v>40</v>
      </c>
      <c r="P69" t="s">
        <v>24</v>
      </c>
    </row>
    <row r="70" spans="1:16" x14ac:dyDescent="0.25">
      <c r="A70" t="s">
        <v>180</v>
      </c>
      <c r="B70" s="1">
        <v>46161</v>
      </c>
      <c r="C70" t="s">
        <v>181</v>
      </c>
      <c r="D70" t="s">
        <v>30</v>
      </c>
      <c r="E70" t="s">
        <v>19</v>
      </c>
      <c r="F70" t="s">
        <v>56</v>
      </c>
      <c r="G70" t="s">
        <v>57</v>
      </c>
      <c r="H70">
        <v>3</v>
      </c>
      <c r="I70">
        <v>1879</v>
      </c>
      <c r="J70">
        <v>10</v>
      </c>
      <c r="K70">
        <f>Table1_1[[#This Row],[TOTAL SALES]]*Table1_1[[#This Row],[Discount %]]/100</f>
        <v>563.70000000000005</v>
      </c>
      <c r="L70">
        <f>Table1_1[[#This Row],[TOTAL SALES]]-Table1_1[[#This Row],[Discount Amount]]</f>
        <v>5073.3</v>
      </c>
      <c r="M70" t="s">
        <v>34</v>
      </c>
      <c r="N70">
        <f>Table1_1[[#This Row],[Quantity]]*Table1_1[[#This Row],[Unit Price]]</f>
        <v>5637</v>
      </c>
      <c r="O70" t="s">
        <v>35</v>
      </c>
      <c r="P70" t="s">
        <v>24</v>
      </c>
    </row>
    <row r="71" spans="1:16" x14ac:dyDescent="0.25">
      <c r="A71" t="s">
        <v>182</v>
      </c>
      <c r="B71" s="1">
        <v>46029</v>
      </c>
      <c r="C71" t="s">
        <v>183</v>
      </c>
      <c r="D71" t="s">
        <v>18</v>
      </c>
      <c r="E71" t="s">
        <v>19</v>
      </c>
      <c r="F71" t="s">
        <v>20</v>
      </c>
      <c r="G71" t="s">
        <v>49</v>
      </c>
      <c r="H71">
        <v>9</v>
      </c>
      <c r="I71">
        <v>930</v>
      </c>
      <c r="J71">
        <v>0</v>
      </c>
      <c r="K71">
        <f>Table1_1[[#This Row],[TOTAL SALES]]*Table1_1[[#This Row],[Discount %]]/100</f>
        <v>0</v>
      </c>
      <c r="L71">
        <f>Table1_1[[#This Row],[TOTAL SALES]]-Table1_1[[#This Row],[Discount Amount]]</f>
        <v>8370</v>
      </c>
      <c r="M71" t="s">
        <v>34</v>
      </c>
      <c r="N71">
        <f>Table1_1[[#This Row],[Quantity]]*Table1_1[[#This Row],[Unit Price]]</f>
        <v>8370</v>
      </c>
      <c r="O71" t="s">
        <v>35</v>
      </c>
      <c r="P71" t="s">
        <v>24</v>
      </c>
    </row>
    <row r="72" spans="1:16" x14ac:dyDescent="0.25">
      <c r="A72" t="s">
        <v>184</v>
      </c>
      <c r="B72" s="1">
        <v>46181</v>
      </c>
      <c r="C72" t="s">
        <v>185</v>
      </c>
      <c r="D72" t="s">
        <v>53</v>
      </c>
      <c r="E72" t="s">
        <v>31</v>
      </c>
      <c r="F72" t="s">
        <v>39</v>
      </c>
      <c r="G72" t="s">
        <v>21</v>
      </c>
      <c r="H72">
        <v>6</v>
      </c>
      <c r="I72">
        <v>4713</v>
      </c>
      <c r="J72">
        <v>0</v>
      </c>
      <c r="K72">
        <f>Table1_1[[#This Row],[TOTAL SALES]]*Table1_1[[#This Row],[Discount %]]/100</f>
        <v>0</v>
      </c>
      <c r="L72">
        <f>Table1_1[[#This Row],[TOTAL SALES]]-Table1_1[[#This Row],[Discount Amount]]</f>
        <v>28278</v>
      </c>
      <c r="M72" t="s">
        <v>34</v>
      </c>
      <c r="N72">
        <f>Table1_1[[#This Row],[Quantity]]*Table1_1[[#This Row],[Unit Price]]</f>
        <v>28278</v>
      </c>
      <c r="O72" t="s">
        <v>40</v>
      </c>
      <c r="P72" t="s">
        <v>24</v>
      </c>
    </row>
    <row r="73" spans="1:16" x14ac:dyDescent="0.25">
      <c r="A73" t="s">
        <v>186</v>
      </c>
      <c r="B73" s="1">
        <v>46186</v>
      </c>
      <c r="C73" t="s">
        <v>187</v>
      </c>
      <c r="D73" t="s">
        <v>30</v>
      </c>
      <c r="E73" t="s">
        <v>31</v>
      </c>
      <c r="F73" t="s">
        <v>32</v>
      </c>
      <c r="G73" t="s">
        <v>21</v>
      </c>
      <c r="H73">
        <v>2</v>
      </c>
      <c r="I73">
        <v>3055</v>
      </c>
      <c r="J73">
        <v>5</v>
      </c>
      <c r="K73">
        <f>Table1_1[[#This Row],[TOTAL SALES]]*Table1_1[[#This Row],[Discount %]]/100</f>
        <v>305.5</v>
      </c>
      <c r="L73">
        <f>Table1_1[[#This Row],[TOTAL SALES]]-Table1_1[[#This Row],[Discount Amount]]</f>
        <v>5804.5</v>
      </c>
      <c r="M73" t="s">
        <v>22</v>
      </c>
      <c r="N73">
        <f>Table1_1[[#This Row],[Quantity]]*Table1_1[[#This Row],[Unit Price]]</f>
        <v>6110</v>
      </c>
      <c r="O73" t="s">
        <v>35</v>
      </c>
      <c r="P73" t="s">
        <v>50</v>
      </c>
    </row>
    <row r="74" spans="1:16" x14ac:dyDescent="0.25">
      <c r="A74" t="s">
        <v>188</v>
      </c>
      <c r="B74" s="1">
        <v>46180</v>
      </c>
      <c r="C74" t="s">
        <v>189</v>
      </c>
      <c r="D74" t="s">
        <v>43</v>
      </c>
      <c r="E74" t="s">
        <v>19</v>
      </c>
      <c r="F74" t="s">
        <v>20</v>
      </c>
      <c r="G74" t="s">
        <v>57</v>
      </c>
      <c r="H74">
        <v>5</v>
      </c>
      <c r="I74">
        <v>993</v>
      </c>
      <c r="J74">
        <v>5</v>
      </c>
      <c r="K74">
        <f>Table1_1[[#This Row],[TOTAL SALES]]*Table1_1[[#This Row],[Discount %]]/100</f>
        <v>248.25</v>
      </c>
      <c r="L74">
        <f>Table1_1[[#This Row],[TOTAL SALES]]-Table1_1[[#This Row],[Discount Amount]]</f>
        <v>4716.75</v>
      </c>
      <c r="M74" t="s">
        <v>22</v>
      </c>
      <c r="N74">
        <f>Table1_1[[#This Row],[Quantity]]*Table1_1[[#This Row],[Unit Price]]</f>
        <v>4965</v>
      </c>
      <c r="O74" t="s">
        <v>40</v>
      </c>
      <c r="P74" t="s">
        <v>60</v>
      </c>
    </row>
    <row r="75" spans="1:16" x14ac:dyDescent="0.25">
      <c r="A75" t="s">
        <v>190</v>
      </c>
      <c r="B75" s="1">
        <v>46110</v>
      </c>
      <c r="C75" t="s">
        <v>191</v>
      </c>
      <c r="D75" t="s">
        <v>18</v>
      </c>
      <c r="E75" t="s">
        <v>31</v>
      </c>
      <c r="F75" t="s">
        <v>32</v>
      </c>
      <c r="G75" t="s">
        <v>21</v>
      </c>
      <c r="H75">
        <v>2</v>
      </c>
      <c r="I75">
        <v>4128</v>
      </c>
      <c r="J75">
        <v>0</v>
      </c>
      <c r="K75">
        <f>Table1_1[[#This Row],[TOTAL SALES]]*Table1_1[[#This Row],[Discount %]]/100</f>
        <v>0</v>
      </c>
      <c r="L75">
        <f>Table1_1[[#This Row],[TOTAL SALES]]-Table1_1[[#This Row],[Discount Amount]]</f>
        <v>8256</v>
      </c>
      <c r="M75" t="s">
        <v>22</v>
      </c>
      <c r="N75">
        <f>Table1_1[[#This Row],[Quantity]]*Table1_1[[#This Row],[Unit Price]]</f>
        <v>8256</v>
      </c>
      <c r="O75" t="s">
        <v>40</v>
      </c>
      <c r="P75" t="s">
        <v>27</v>
      </c>
    </row>
    <row r="76" spans="1:16" x14ac:dyDescent="0.25">
      <c r="A76" t="s">
        <v>192</v>
      </c>
      <c r="B76" s="1">
        <v>46193</v>
      </c>
      <c r="C76" t="s">
        <v>193</v>
      </c>
      <c r="D76" t="s">
        <v>38</v>
      </c>
      <c r="E76" t="s">
        <v>19</v>
      </c>
      <c r="F76" t="s">
        <v>20</v>
      </c>
      <c r="G76" t="s">
        <v>57</v>
      </c>
      <c r="H76">
        <v>4</v>
      </c>
      <c r="I76">
        <v>4162</v>
      </c>
      <c r="J76">
        <v>10</v>
      </c>
      <c r="K76">
        <f>Table1_1[[#This Row],[TOTAL SALES]]*Table1_1[[#This Row],[Discount %]]/100</f>
        <v>1664.8</v>
      </c>
      <c r="L76">
        <f>Table1_1[[#This Row],[TOTAL SALES]]-Table1_1[[#This Row],[Discount Amount]]</f>
        <v>14983.2</v>
      </c>
      <c r="M76" t="s">
        <v>22</v>
      </c>
      <c r="N76">
        <f>Table1_1[[#This Row],[Quantity]]*Table1_1[[#This Row],[Unit Price]]</f>
        <v>16648</v>
      </c>
      <c r="O76" t="s">
        <v>23</v>
      </c>
      <c r="P76" t="s">
        <v>50</v>
      </c>
    </row>
    <row r="77" spans="1:16" x14ac:dyDescent="0.25">
      <c r="A77" t="s">
        <v>194</v>
      </c>
      <c r="B77" s="1">
        <v>46095</v>
      </c>
      <c r="C77" t="s">
        <v>195</v>
      </c>
      <c r="D77" t="s">
        <v>30</v>
      </c>
      <c r="E77" t="s">
        <v>19</v>
      </c>
      <c r="F77" t="s">
        <v>56</v>
      </c>
      <c r="G77" t="s">
        <v>33</v>
      </c>
      <c r="H77">
        <v>8</v>
      </c>
      <c r="I77">
        <v>3138</v>
      </c>
      <c r="J77">
        <v>0</v>
      </c>
      <c r="K77">
        <f>Table1_1[[#This Row],[TOTAL SALES]]*Table1_1[[#This Row],[Discount %]]/100</f>
        <v>0</v>
      </c>
      <c r="L77">
        <f>Table1_1[[#This Row],[TOTAL SALES]]-Table1_1[[#This Row],[Discount Amount]]</f>
        <v>25104</v>
      </c>
      <c r="M77" t="s">
        <v>22</v>
      </c>
      <c r="N77">
        <f>Table1_1[[#This Row],[Quantity]]*Table1_1[[#This Row],[Unit Price]]</f>
        <v>25104</v>
      </c>
      <c r="O77" t="s">
        <v>35</v>
      </c>
      <c r="P77" t="s">
        <v>60</v>
      </c>
    </row>
    <row r="78" spans="1:16" x14ac:dyDescent="0.25">
      <c r="A78" t="s">
        <v>196</v>
      </c>
      <c r="B78" s="1">
        <v>46194</v>
      </c>
      <c r="C78" t="s">
        <v>197</v>
      </c>
      <c r="D78" t="s">
        <v>30</v>
      </c>
      <c r="E78" t="s">
        <v>31</v>
      </c>
      <c r="F78" t="s">
        <v>32</v>
      </c>
      <c r="G78" t="s">
        <v>33</v>
      </c>
      <c r="H78">
        <v>3</v>
      </c>
      <c r="I78">
        <v>1393</v>
      </c>
      <c r="J78">
        <v>5</v>
      </c>
      <c r="K78">
        <f>Table1_1[[#This Row],[TOTAL SALES]]*Table1_1[[#This Row],[Discount %]]/100</f>
        <v>208.95</v>
      </c>
      <c r="L78">
        <f>Table1_1[[#This Row],[TOTAL SALES]]-Table1_1[[#This Row],[Discount Amount]]</f>
        <v>3970.05</v>
      </c>
      <c r="M78" t="s">
        <v>34</v>
      </c>
      <c r="N78">
        <f>Table1_1[[#This Row],[Quantity]]*Table1_1[[#This Row],[Unit Price]]</f>
        <v>4179</v>
      </c>
      <c r="O78" t="s">
        <v>35</v>
      </c>
      <c r="P78" t="s">
        <v>60</v>
      </c>
    </row>
    <row r="79" spans="1:16" x14ac:dyDescent="0.25">
      <c r="A79" t="s">
        <v>198</v>
      </c>
      <c r="B79" s="1">
        <v>46073</v>
      </c>
      <c r="C79" t="s">
        <v>199</v>
      </c>
      <c r="D79" t="s">
        <v>18</v>
      </c>
      <c r="E79" t="s">
        <v>31</v>
      </c>
      <c r="F79" t="s">
        <v>32</v>
      </c>
      <c r="G79" t="s">
        <v>57</v>
      </c>
      <c r="H79">
        <v>9</v>
      </c>
      <c r="I79">
        <v>4425</v>
      </c>
      <c r="J79">
        <v>0</v>
      </c>
      <c r="K79">
        <f>Table1_1[[#This Row],[TOTAL SALES]]*Table1_1[[#This Row],[Discount %]]/100</f>
        <v>0</v>
      </c>
      <c r="L79">
        <f>Table1_1[[#This Row],[TOTAL SALES]]-Table1_1[[#This Row],[Discount Amount]]</f>
        <v>39825</v>
      </c>
      <c r="M79" t="s">
        <v>34</v>
      </c>
      <c r="N79">
        <f>Table1_1[[#This Row],[Quantity]]*Table1_1[[#This Row],[Unit Price]]</f>
        <v>39825</v>
      </c>
      <c r="O79" t="s">
        <v>23</v>
      </c>
      <c r="P79" t="s">
        <v>60</v>
      </c>
    </row>
    <row r="80" spans="1:16" x14ac:dyDescent="0.25">
      <c r="A80" t="s">
        <v>200</v>
      </c>
      <c r="B80" s="1">
        <v>46131</v>
      </c>
      <c r="C80" t="s">
        <v>201</v>
      </c>
      <c r="D80" t="s">
        <v>53</v>
      </c>
      <c r="E80" t="s">
        <v>44</v>
      </c>
      <c r="F80" t="s">
        <v>48</v>
      </c>
      <c r="G80" t="s">
        <v>21</v>
      </c>
      <c r="H80">
        <v>4</v>
      </c>
      <c r="I80">
        <v>4656</v>
      </c>
      <c r="J80">
        <v>0</v>
      </c>
      <c r="K80">
        <f>Table1_1[[#This Row],[TOTAL SALES]]*Table1_1[[#This Row],[Discount %]]/100</f>
        <v>0</v>
      </c>
      <c r="L80">
        <f>Table1_1[[#This Row],[TOTAL SALES]]-Table1_1[[#This Row],[Discount Amount]]</f>
        <v>18624</v>
      </c>
      <c r="M80" t="s">
        <v>22</v>
      </c>
      <c r="N80">
        <f>Table1_1[[#This Row],[Quantity]]*Table1_1[[#This Row],[Unit Price]]</f>
        <v>18624</v>
      </c>
      <c r="O80" t="s">
        <v>23</v>
      </c>
      <c r="P80" t="s">
        <v>60</v>
      </c>
    </row>
    <row r="81" spans="1:16" x14ac:dyDescent="0.25">
      <c r="A81" t="s">
        <v>202</v>
      </c>
      <c r="B81" s="1">
        <v>46035</v>
      </c>
      <c r="C81" t="s">
        <v>203</v>
      </c>
      <c r="D81" t="s">
        <v>43</v>
      </c>
      <c r="E81" t="s">
        <v>44</v>
      </c>
      <c r="F81" t="s">
        <v>48</v>
      </c>
      <c r="G81" t="s">
        <v>21</v>
      </c>
      <c r="H81">
        <v>1</v>
      </c>
      <c r="I81">
        <v>1513</v>
      </c>
      <c r="J81">
        <v>0</v>
      </c>
      <c r="K81">
        <f>Table1_1[[#This Row],[TOTAL SALES]]*Table1_1[[#This Row],[Discount %]]/100</f>
        <v>0</v>
      </c>
      <c r="L81">
        <f>Table1_1[[#This Row],[TOTAL SALES]]-Table1_1[[#This Row],[Discount Amount]]</f>
        <v>1513</v>
      </c>
      <c r="M81" t="s">
        <v>22</v>
      </c>
      <c r="N81">
        <f>Table1_1[[#This Row],[Quantity]]*Table1_1[[#This Row],[Unit Price]]</f>
        <v>1513</v>
      </c>
      <c r="O81" t="s">
        <v>35</v>
      </c>
      <c r="P81" t="s">
        <v>24</v>
      </c>
    </row>
    <row r="82" spans="1:16" x14ac:dyDescent="0.25">
      <c r="A82" t="s">
        <v>204</v>
      </c>
      <c r="B82" s="1">
        <v>46111</v>
      </c>
      <c r="C82" t="s">
        <v>205</v>
      </c>
      <c r="D82" t="s">
        <v>38</v>
      </c>
      <c r="E82" t="s">
        <v>31</v>
      </c>
      <c r="F82" t="s">
        <v>32</v>
      </c>
      <c r="G82" t="s">
        <v>21</v>
      </c>
      <c r="H82">
        <v>10</v>
      </c>
      <c r="I82">
        <v>2508</v>
      </c>
      <c r="J82">
        <v>15</v>
      </c>
      <c r="K82">
        <f>Table1_1[[#This Row],[TOTAL SALES]]*Table1_1[[#This Row],[Discount %]]/100</f>
        <v>3762</v>
      </c>
      <c r="L82">
        <f>Table1_1[[#This Row],[TOTAL SALES]]-Table1_1[[#This Row],[Discount Amount]]</f>
        <v>21318</v>
      </c>
      <c r="M82" t="s">
        <v>34</v>
      </c>
      <c r="N82">
        <f>Table1_1[[#This Row],[Quantity]]*Table1_1[[#This Row],[Unit Price]]</f>
        <v>25080</v>
      </c>
      <c r="O82" t="s">
        <v>23</v>
      </c>
      <c r="P82" t="s">
        <v>60</v>
      </c>
    </row>
    <row r="83" spans="1:16" x14ac:dyDescent="0.25">
      <c r="A83" t="s">
        <v>206</v>
      </c>
      <c r="B83" s="1">
        <v>46085</v>
      </c>
      <c r="C83" t="s">
        <v>207</v>
      </c>
      <c r="D83" t="s">
        <v>30</v>
      </c>
      <c r="E83" t="s">
        <v>44</v>
      </c>
      <c r="F83" t="s">
        <v>45</v>
      </c>
      <c r="G83" t="s">
        <v>49</v>
      </c>
      <c r="H83">
        <v>2</v>
      </c>
      <c r="I83">
        <v>2555</v>
      </c>
      <c r="J83">
        <v>0</v>
      </c>
      <c r="K83">
        <f>Table1_1[[#This Row],[TOTAL SALES]]*Table1_1[[#This Row],[Discount %]]/100</f>
        <v>0</v>
      </c>
      <c r="L83">
        <f>Table1_1[[#This Row],[TOTAL SALES]]-Table1_1[[#This Row],[Discount Amount]]</f>
        <v>5110</v>
      </c>
      <c r="M83" t="s">
        <v>22</v>
      </c>
      <c r="N83">
        <f>Table1_1[[#This Row],[Quantity]]*Table1_1[[#This Row],[Unit Price]]</f>
        <v>5110</v>
      </c>
      <c r="O83" t="s">
        <v>23</v>
      </c>
      <c r="P83" t="s">
        <v>27</v>
      </c>
    </row>
    <row r="84" spans="1:16" x14ac:dyDescent="0.25">
      <c r="A84" t="s">
        <v>208</v>
      </c>
      <c r="B84" s="1">
        <v>46078</v>
      </c>
      <c r="C84" t="s">
        <v>209</v>
      </c>
      <c r="D84" t="s">
        <v>53</v>
      </c>
      <c r="E84" t="s">
        <v>44</v>
      </c>
      <c r="F84" t="s">
        <v>45</v>
      </c>
      <c r="G84" t="s">
        <v>33</v>
      </c>
      <c r="H84">
        <v>6</v>
      </c>
      <c r="I84">
        <v>3179</v>
      </c>
      <c r="J84">
        <v>5</v>
      </c>
      <c r="K84">
        <f>Table1_1[[#This Row],[TOTAL SALES]]*Table1_1[[#This Row],[Discount %]]/100</f>
        <v>953.7</v>
      </c>
      <c r="L84">
        <f>Table1_1[[#This Row],[TOTAL SALES]]-Table1_1[[#This Row],[Discount Amount]]</f>
        <v>18120.3</v>
      </c>
      <c r="M84" t="s">
        <v>22</v>
      </c>
      <c r="N84">
        <f>Table1_1[[#This Row],[Quantity]]*Table1_1[[#This Row],[Unit Price]]</f>
        <v>19074</v>
      </c>
      <c r="O84" t="s">
        <v>35</v>
      </c>
      <c r="P84" t="s">
        <v>60</v>
      </c>
    </row>
    <row r="85" spans="1:16" x14ac:dyDescent="0.25">
      <c r="A85" t="s">
        <v>210</v>
      </c>
      <c r="B85" s="1">
        <v>46082</v>
      </c>
      <c r="C85" t="s">
        <v>211</v>
      </c>
      <c r="D85" t="s">
        <v>43</v>
      </c>
      <c r="E85" t="s">
        <v>19</v>
      </c>
      <c r="F85" t="s">
        <v>56</v>
      </c>
      <c r="G85" t="s">
        <v>33</v>
      </c>
      <c r="H85">
        <v>3</v>
      </c>
      <c r="I85">
        <v>2462</v>
      </c>
      <c r="J85">
        <v>5</v>
      </c>
      <c r="K85">
        <f>Table1_1[[#This Row],[TOTAL SALES]]*Table1_1[[#This Row],[Discount %]]/100</f>
        <v>369.3</v>
      </c>
      <c r="L85">
        <f>Table1_1[[#This Row],[TOTAL SALES]]-Table1_1[[#This Row],[Discount Amount]]</f>
        <v>7016.7</v>
      </c>
      <c r="M85" t="s">
        <v>22</v>
      </c>
      <c r="N85">
        <f>Table1_1[[#This Row],[Quantity]]*Table1_1[[#This Row],[Unit Price]]</f>
        <v>7386</v>
      </c>
      <c r="O85" t="s">
        <v>40</v>
      </c>
      <c r="P85" t="s">
        <v>50</v>
      </c>
    </row>
    <row r="86" spans="1:16" x14ac:dyDescent="0.25">
      <c r="A86" t="s">
        <v>212</v>
      </c>
      <c r="B86" s="1">
        <v>46120</v>
      </c>
      <c r="C86" t="s">
        <v>213</v>
      </c>
      <c r="D86" t="s">
        <v>30</v>
      </c>
      <c r="E86" t="s">
        <v>44</v>
      </c>
      <c r="F86" t="s">
        <v>45</v>
      </c>
      <c r="G86" t="s">
        <v>49</v>
      </c>
      <c r="H86">
        <v>2</v>
      </c>
      <c r="I86">
        <v>4560</v>
      </c>
      <c r="J86">
        <v>0</v>
      </c>
      <c r="K86">
        <f>Table1_1[[#This Row],[TOTAL SALES]]*Table1_1[[#This Row],[Discount %]]/100</f>
        <v>0</v>
      </c>
      <c r="L86">
        <f>Table1_1[[#This Row],[TOTAL SALES]]-Table1_1[[#This Row],[Discount Amount]]</f>
        <v>9120</v>
      </c>
      <c r="M86" t="s">
        <v>34</v>
      </c>
      <c r="N86">
        <f>Table1_1[[#This Row],[Quantity]]*Table1_1[[#This Row],[Unit Price]]</f>
        <v>9120</v>
      </c>
      <c r="O86" t="s">
        <v>35</v>
      </c>
      <c r="P86" t="s">
        <v>60</v>
      </c>
    </row>
    <row r="87" spans="1:16" x14ac:dyDescent="0.25">
      <c r="A87" t="s">
        <v>214</v>
      </c>
      <c r="B87" s="1">
        <v>46028</v>
      </c>
      <c r="C87" t="s">
        <v>215</v>
      </c>
      <c r="D87" t="s">
        <v>18</v>
      </c>
      <c r="E87" t="s">
        <v>44</v>
      </c>
      <c r="F87" t="s">
        <v>71</v>
      </c>
      <c r="G87" t="s">
        <v>57</v>
      </c>
      <c r="H87">
        <v>6</v>
      </c>
      <c r="I87">
        <v>3102</v>
      </c>
      <c r="J87">
        <v>5</v>
      </c>
      <c r="K87">
        <f>Table1_1[[#This Row],[TOTAL SALES]]*Table1_1[[#This Row],[Discount %]]/100</f>
        <v>930.6</v>
      </c>
      <c r="L87">
        <f>Table1_1[[#This Row],[TOTAL SALES]]-Table1_1[[#This Row],[Discount Amount]]</f>
        <v>17681.400000000001</v>
      </c>
      <c r="M87" t="s">
        <v>22</v>
      </c>
      <c r="N87">
        <f>Table1_1[[#This Row],[Quantity]]*Table1_1[[#This Row],[Unit Price]]</f>
        <v>18612</v>
      </c>
      <c r="O87" t="s">
        <v>35</v>
      </c>
      <c r="P87" t="s">
        <v>60</v>
      </c>
    </row>
    <row r="88" spans="1:16" x14ac:dyDescent="0.25">
      <c r="A88" t="s">
        <v>216</v>
      </c>
      <c r="B88" s="1">
        <v>46094</v>
      </c>
      <c r="C88" t="s">
        <v>217</v>
      </c>
      <c r="D88" t="s">
        <v>43</v>
      </c>
      <c r="E88" t="s">
        <v>31</v>
      </c>
      <c r="F88" t="s">
        <v>39</v>
      </c>
      <c r="G88" t="s">
        <v>57</v>
      </c>
      <c r="H88">
        <v>2</v>
      </c>
      <c r="I88">
        <v>3298</v>
      </c>
      <c r="J88">
        <v>0</v>
      </c>
      <c r="K88">
        <f>Table1_1[[#This Row],[TOTAL SALES]]*Table1_1[[#This Row],[Discount %]]/100</f>
        <v>0</v>
      </c>
      <c r="L88">
        <f>Table1_1[[#This Row],[TOTAL SALES]]-Table1_1[[#This Row],[Discount Amount]]</f>
        <v>6596</v>
      </c>
      <c r="M88" t="s">
        <v>34</v>
      </c>
      <c r="N88">
        <f>Table1_1[[#This Row],[Quantity]]*Table1_1[[#This Row],[Unit Price]]</f>
        <v>6596</v>
      </c>
      <c r="O88" t="s">
        <v>35</v>
      </c>
      <c r="P88" t="s">
        <v>27</v>
      </c>
    </row>
    <row r="89" spans="1:16" x14ac:dyDescent="0.25">
      <c r="A89" t="s">
        <v>218</v>
      </c>
      <c r="B89" s="1">
        <v>46049</v>
      </c>
      <c r="C89" t="s">
        <v>219</v>
      </c>
      <c r="D89" t="s">
        <v>43</v>
      </c>
      <c r="E89" t="s">
        <v>19</v>
      </c>
      <c r="F89" t="s">
        <v>20</v>
      </c>
      <c r="G89" t="s">
        <v>57</v>
      </c>
      <c r="H89">
        <v>6</v>
      </c>
      <c r="I89">
        <v>2909</v>
      </c>
      <c r="J89">
        <v>15</v>
      </c>
      <c r="K89">
        <f>Table1_1[[#This Row],[TOTAL SALES]]*Table1_1[[#This Row],[Discount %]]/100</f>
        <v>2618.1</v>
      </c>
      <c r="L89">
        <f>Table1_1[[#This Row],[TOTAL SALES]]-Table1_1[[#This Row],[Discount Amount]]</f>
        <v>14835.9</v>
      </c>
      <c r="M89" t="s">
        <v>34</v>
      </c>
      <c r="N89">
        <f>Table1_1[[#This Row],[Quantity]]*Table1_1[[#This Row],[Unit Price]]</f>
        <v>17454</v>
      </c>
      <c r="O89" t="s">
        <v>23</v>
      </c>
      <c r="P89" t="s">
        <v>24</v>
      </c>
    </row>
    <row r="90" spans="1:16" x14ac:dyDescent="0.25">
      <c r="A90" t="s">
        <v>220</v>
      </c>
      <c r="B90" s="1">
        <v>46088</v>
      </c>
      <c r="C90" t="s">
        <v>221</v>
      </c>
      <c r="D90" t="s">
        <v>38</v>
      </c>
      <c r="E90" t="s">
        <v>44</v>
      </c>
      <c r="F90" t="s">
        <v>71</v>
      </c>
      <c r="G90" t="s">
        <v>33</v>
      </c>
      <c r="H90">
        <v>1</v>
      </c>
      <c r="I90">
        <v>1957</v>
      </c>
      <c r="J90">
        <v>10</v>
      </c>
      <c r="K90">
        <f>Table1_1[[#This Row],[TOTAL SALES]]*Table1_1[[#This Row],[Discount %]]/100</f>
        <v>195.7</v>
      </c>
      <c r="L90">
        <f>Table1_1[[#This Row],[TOTAL SALES]]-Table1_1[[#This Row],[Discount Amount]]</f>
        <v>1761.3</v>
      </c>
      <c r="M90" t="s">
        <v>22</v>
      </c>
      <c r="N90">
        <f>Table1_1[[#This Row],[Quantity]]*Table1_1[[#This Row],[Unit Price]]</f>
        <v>1957</v>
      </c>
      <c r="O90" t="s">
        <v>23</v>
      </c>
      <c r="P90" t="s">
        <v>50</v>
      </c>
    </row>
    <row r="91" spans="1:16" x14ac:dyDescent="0.25">
      <c r="A91" t="s">
        <v>222</v>
      </c>
      <c r="B91" s="1">
        <v>46025</v>
      </c>
      <c r="C91" t="s">
        <v>223</v>
      </c>
      <c r="D91" t="s">
        <v>18</v>
      </c>
      <c r="E91" t="s">
        <v>19</v>
      </c>
      <c r="F91" t="s">
        <v>20</v>
      </c>
      <c r="G91" t="s">
        <v>21</v>
      </c>
      <c r="H91">
        <v>2</v>
      </c>
      <c r="I91">
        <v>1703</v>
      </c>
      <c r="J91">
        <v>10</v>
      </c>
      <c r="K91">
        <f>Table1_1[[#This Row],[TOTAL SALES]]*Table1_1[[#This Row],[Discount %]]/100</f>
        <v>340.6</v>
      </c>
      <c r="L91">
        <f>Table1_1[[#This Row],[TOTAL SALES]]-Table1_1[[#This Row],[Discount Amount]]</f>
        <v>3065.4</v>
      </c>
      <c r="M91" t="s">
        <v>22</v>
      </c>
      <c r="N91">
        <f>Table1_1[[#This Row],[Quantity]]*Table1_1[[#This Row],[Unit Price]]</f>
        <v>3406</v>
      </c>
      <c r="O91" t="s">
        <v>23</v>
      </c>
      <c r="P91" t="s">
        <v>27</v>
      </c>
    </row>
    <row r="92" spans="1:16" x14ac:dyDescent="0.25">
      <c r="A92" t="s">
        <v>224</v>
      </c>
      <c r="B92" s="1">
        <v>46142</v>
      </c>
      <c r="C92" t="s">
        <v>225</v>
      </c>
      <c r="D92" t="s">
        <v>18</v>
      </c>
      <c r="E92" t="s">
        <v>19</v>
      </c>
      <c r="F92" t="s">
        <v>20</v>
      </c>
      <c r="G92" t="s">
        <v>57</v>
      </c>
      <c r="H92">
        <v>7</v>
      </c>
      <c r="I92">
        <v>1418</v>
      </c>
      <c r="J92">
        <v>5</v>
      </c>
      <c r="K92">
        <f>Table1_1[[#This Row],[TOTAL SALES]]*Table1_1[[#This Row],[Discount %]]/100</f>
        <v>496.3</v>
      </c>
      <c r="L92">
        <f>Table1_1[[#This Row],[TOTAL SALES]]-Table1_1[[#This Row],[Discount Amount]]</f>
        <v>9429.7000000000007</v>
      </c>
      <c r="M92" t="s">
        <v>22</v>
      </c>
      <c r="N92">
        <f>Table1_1[[#This Row],[Quantity]]*Table1_1[[#This Row],[Unit Price]]</f>
        <v>9926</v>
      </c>
      <c r="O92" t="s">
        <v>40</v>
      </c>
      <c r="P92" t="s">
        <v>27</v>
      </c>
    </row>
    <row r="93" spans="1:16" x14ac:dyDescent="0.25">
      <c r="A93" t="s">
        <v>226</v>
      </c>
      <c r="B93" s="1">
        <v>46122</v>
      </c>
      <c r="C93" t="s">
        <v>227</v>
      </c>
      <c r="D93" t="s">
        <v>43</v>
      </c>
      <c r="E93" t="s">
        <v>19</v>
      </c>
      <c r="F93" t="s">
        <v>56</v>
      </c>
      <c r="G93" t="s">
        <v>21</v>
      </c>
      <c r="H93">
        <v>5</v>
      </c>
      <c r="I93">
        <v>4271</v>
      </c>
      <c r="J93">
        <v>0</v>
      </c>
      <c r="K93">
        <f>Table1_1[[#This Row],[TOTAL SALES]]*Table1_1[[#This Row],[Discount %]]/100</f>
        <v>0</v>
      </c>
      <c r="L93">
        <f>Table1_1[[#This Row],[TOTAL SALES]]-Table1_1[[#This Row],[Discount Amount]]</f>
        <v>21355</v>
      </c>
      <c r="M93" t="s">
        <v>22</v>
      </c>
      <c r="N93">
        <f>Table1_1[[#This Row],[Quantity]]*Table1_1[[#This Row],[Unit Price]]</f>
        <v>21355</v>
      </c>
      <c r="O93" t="s">
        <v>35</v>
      </c>
      <c r="P93" t="s">
        <v>50</v>
      </c>
    </row>
    <row r="94" spans="1:16" x14ac:dyDescent="0.25">
      <c r="A94" t="s">
        <v>228</v>
      </c>
      <c r="B94" s="1">
        <v>46148</v>
      </c>
      <c r="C94" t="s">
        <v>229</v>
      </c>
      <c r="D94" t="s">
        <v>43</v>
      </c>
      <c r="E94" t="s">
        <v>44</v>
      </c>
      <c r="F94" t="s">
        <v>45</v>
      </c>
      <c r="G94" t="s">
        <v>21</v>
      </c>
      <c r="H94">
        <v>1</v>
      </c>
      <c r="I94">
        <v>666</v>
      </c>
      <c r="J94">
        <v>15</v>
      </c>
      <c r="K94">
        <f>Table1_1[[#This Row],[TOTAL SALES]]*Table1_1[[#This Row],[Discount %]]/100</f>
        <v>99.9</v>
      </c>
      <c r="L94">
        <f>Table1_1[[#This Row],[TOTAL SALES]]-Table1_1[[#This Row],[Discount Amount]]</f>
        <v>566.1</v>
      </c>
      <c r="M94" t="s">
        <v>22</v>
      </c>
      <c r="N94">
        <f>Table1_1[[#This Row],[Quantity]]*Table1_1[[#This Row],[Unit Price]]</f>
        <v>666</v>
      </c>
      <c r="O94" t="s">
        <v>35</v>
      </c>
      <c r="P94" t="s">
        <v>24</v>
      </c>
    </row>
    <row r="95" spans="1:16" x14ac:dyDescent="0.25">
      <c r="A95" t="s">
        <v>230</v>
      </c>
      <c r="B95" s="1">
        <v>46124</v>
      </c>
      <c r="C95" t="s">
        <v>231</v>
      </c>
      <c r="D95" t="s">
        <v>18</v>
      </c>
      <c r="E95" t="s">
        <v>31</v>
      </c>
      <c r="F95" t="s">
        <v>32</v>
      </c>
      <c r="G95" t="s">
        <v>57</v>
      </c>
      <c r="H95">
        <v>6</v>
      </c>
      <c r="I95">
        <v>2059</v>
      </c>
      <c r="J95">
        <v>5</v>
      </c>
      <c r="K95">
        <f>Table1_1[[#This Row],[TOTAL SALES]]*Table1_1[[#This Row],[Discount %]]/100</f>
        <v>617.70000000000005</v>
      </c>
      <c r="L95">
        <f>Table1_1[[#This Row],[TOTAL SALES]]-Table1_1[[#This Row],[Discount Amount]]</f>
        <v>11736.3</v>
      </c>
      <c r="M95" t="s">
        <v>34</v>
      </c>
      <c r="N95">
        <f>Table1_1[[#This Row],[Quantity]]*Table1_1[[#This Row],[Unit Price]]</f>
        <v>12354</v>
      </c>
      <c r="O95" t="s">
        <v>35</v>
      </c>
      <c r="P95" t="s">
        <v>24</v>
      </c>
    </row>
    <row r="96" spans="1:16" x14ac:dyDescent="0.25">
      <c r="A96" t="s">
        <v>232</v>
      </c>
      <c r="B96" s="1">
        <v>46138</v>
      </c>
      <c r="C96" t="s">
        <v>233</v>
      </c>
      <c r="D96" t="s">
        <v>53</v>
      </c>
      <c r="E96" t="s">
        <v>19</v>
      </c>
      <c r="F96" t="s">
        <v>20</v>
      </c>
      <c r="G96" t="s">
        <v>21</v>
      </c>
      <c r="H96">
        <v>4</v>
      </c>
      <c r="I96">
        <v>1564</v>
      </c>
      <c r="J96">
        <v>0</v>
      </c>
      <c r="K96">
        <f>Table1_1[[#This Row],[TOTAL SALES]]*Table1_1[[#This Row],[Discount %]]/100</f>
        <v>0</v>
      </c>
      <c r="L96">
        <f>Table1_1[[#This Row],[TOTAL SALES]]-Table1_1[[#This Row],[Discount Amount]]</f>
        <v>6256</v>
      </c>
      <c r="M96" t="s">
        <v>34</v>
      </c>
      <c r="N96">
        <f>Table1_1[[#This Row],[Quantity]]*Table1_1[[#This Row],[Unit Price]]</f>
        <v>6256</v>
      </c>
      <c r="O96" t="s">
        <v>40</v>
      </c>
      <c r="P96" t="s">
        <v>50</v>
      </c>
    </row>
    <row r="97" spans="1:16" x14ac:dyDescent="0.25">
      <c r="A97" t="s">
        <v>234</v>
      </c>
      <c r="B97" s="1">
        <v>46166</v>
      </c>
      <c r="C97" t="s">
        <v>235</v>
      </c>
      <c r="D97" t="s">
        <v>18</v>
      </c>
      <c r="E97" t="s">
        <v>19</v>
      </c>
      <c r="F97" t="s">
        <v>20</v>
      </c>
      <c r="G97" t="s">
        <v>49</v>
      </c>
      <c r="H97">
        <v>10</v>
      </c>
      <c r="I97">
        <v>1447</v>
      </c>
      <c r="J97">
        <v>5</v>
      </c>
      <c r="K97">
        <f>Table1_1[[#This Row],[TOTAL SALES]]*Table1_1[[#This Row],[Discount %]]/100</f>
        <v>723.5</v>
      </c>
      <c r="L97">
        <f>Table1_1[[#This Row],[TOTAL SALES]]-Table1_1[[#This Row],[Discount Amount]]</f>
        <v>13746.5</v>
      </c>
      <c r="M97" t="s">
        <v>34</v>
      </c>
      <c r="N97">
        <f>Table1_1[[#This Row],[Quantity]]*Table1_1[[#This Row],[Unit Price]]</f>
        <v>14470</v>
      </c>
      <c r="O97" t="s">
        <v>40</v>
      </c>
      <c r="P97" t="s">
        <v>24</v>
      </c>
    </row>
    <row r="98" spans="1:16" x14ac:dyDescent="0.25">
      <c r="A98" t="s">
        <v>236</v>
      </c>
      <c r="B98" s="1">
        <v>46094</v>
      </c>
      <c r="C98" t="s">
        <v>237</v>
      </c>
      <c r="D98" t="s">
        <v>38</v>
      </c>
      <c r="E98" t="s">
        <v>19</v>
      </c>
      <c r="F98" t="s">
        <v>56</v>
      </c>
      <c r="G98" t="s">
        <v>49</v>
      </c>
      <c r="H98">
        <v>7</v>
      </c>
      <c r="I98">
        <v>3739</v>
      </c>
      <c r="J98">
        <v>0</v>
      </c>
      <c r="K98">
        <f>Table1_1[[#This Row],[TOTAL SALES]]*Table1_1[[#This Row],[Discount %]]/100</f>
        <v>0</v>
      </c>
      <c r="L98">
        <f>Table1_1[[#This Row],[TOTAL SALES]]-Table1_1[[#This Row],[Discount Amount]]</f>
        <v>26173</v>
      </c>
      <c r="M98" t="s">
        <v>22</v>
      </c>
      <c r="N98">
        <f>Table1_1[[#This Row],[Quantity]]*Table1_1[[#This Row],[Unit Price]]</f>
        <v>26173</v>
      </c>
      <c r="O98" t="s">
        <v>35</v>
      </c>
      <c r="P98" t="s">
        <v>24</v>
      </c>
    </row>
    <row r="99" spans="1:16" x14ac:dyDescent="0.25">
      <c r="A99" t="s">
        <v>238</v>
      </c>
      <c r="B99" s="1">
        <v>46072</v>
      </c>
      <c r="C99" t="s">
        <v>239</v>
      </c>
      <c r="D99" t="s">
        <v>38</v>
      </c>
      <c r="E99" t="s">
        <v>31</v>
      </c>
      <c r="F99" t="s">
        <v>32</v>
      </c>
      <c r="G99" t="s">
        <v>57</v>
      </c>
      <c r="H99">
        <v>1</v>
      </c>
      <c r="I99">
        <v>4096</v>
      </c>
      <c r="J99">
        <v>10</v>
      </c>
      <c r="K99">
        <f>Table1_1[[#This Row],[TOTAL SALES]]*Table1_1[[#This Row],[Discount %]]/100</f>
        <v>409.6</v>
      </c>
      <c r="L99">
        <f>Table1_1[[#This Row],[TOTAL SALES]]-Table1_1[[#This Row],[Discount Amount]]</f>
        <v>3686.4</v>
      </c>
      <c r="M99" t="s">
        <v>22</v>
      </c>
      <c r="N99">
        <f>Table1_1[[#This Row],[Quantity]]*Table1_1[[#This Row],[Unit Price]]</f>
        <v>4096</v>
      </c>
      <c r="O99" t="s">
        <v>35</v>
      </c>
      <c r="P99" t="s">
        <v>60</v>
      </c>
    </row>
    <row r="100" spans="1:16" x14ac:dyDescent="0.25">
      <c r="A100" t="s">
        <v>240</v>
      </c>
      <c r="B100" s="1">
        <v>46059</v>
      </c>
      <c r="C100" t="s">
        <v>241</v>
      </c>
      <c r="D100" t="s">
        <v>18</v>
      </c>
      <c r="E100" t="s">
        <v>31</v>
      </c>
      <c r="F100" t="s">
        <v>32</v>
      </c>
      <c r="G100" t="s">
        <v>49</v>
      </c>
      <c r="H100">
        <v>8</v>
      </c>
      <c r="I100">
        <v>3693</v>
      </c>
      <c r="J100">
        <v>10</v>
      </c>
      <c r="K100">
        <f>Table1_1[[#This Row],[TOTAL SALES]]*Table1_1[[#This Row],[Discount %]]/100</f>
        <v>2954.4</v>
      </c>
      <c r="L100">
        <f>Table1_1[[#This Row],[TOTAL SALES]]-Table1_1[[#This Row],[Discount Amount]]</f>
        <v>26589.599999999999</v>
      </c>
      <c r="M100" t="s">
        <v>34</v>
      </c>
      <c r="N100">
        <f>Table1_1[[#This Row],[Quantity]]*Table1_1[[#This Row],[Unit Price]]</f>
        <v>29544</v>
      </c>
      <c r="O100" t="s">
        <v>23</v>
      </c>
      <c r="P100" t="s">
        <v>50</v>
      </c>
    </row>
    <row r="101" spans="1:16" x14ac:dyDescent="0.25">
      <c r="A101" t="s">
        <v>242</v>
      </c>
      <c r="B101" s="1">
        <v>46151</v>
      </c>
      <c r="C101" t="s">
        <v>243</v>
      </c>
      <c r="D101" t="s">
        <v>38</v>
      </c>
      <c r="E101" t="s">
        <v>19</v>
      </c>
      <c r="F101" t="s">
        <v>20</v>
      </c>
      <c r="G101" t="s">
        <v>49</v>
      </c>
      <c r="H101">
        <v>1</v>
      </c>
      <c r="I101">
        <v>3604</v>
      </c>
      <c r="J101">
        <v>10</v>
      </c>
      <c r="K101">
        <f>Table1_1[[#This Row],[TOTAL SALES]]*Table1_1[[#This Row],[Discount %]]/100</f>
        <v>360.4</v>
      </c>
      <c r="L101">
        <f>Table1_1[[#This Row],[TOTAL SALES]]-Table1_1[[#This Row],[Discount Amount]]</f>
        <v>3243.6</v>
      </c>
      <c r="M101" t="s">
        <v>22</v>
      </c>
      <c r="N101">
        <f>Table1_1[[#This Row],[Quantity]]*Table1_1[[#This Row],[Unit Price]]</f>
        <v>3604</v>
      </c>
      <c r="O101" t="s">
        <v>35</v>
      </c>
      <c r="P101" t="s">
        <v>27</v>
      </c>
    </row>
  </sheetData>
  <pageMargins left="0.7" right="0.7" top="0.75" bottom="0.75" header="0.3" footer="0.3"/>
  <drawing r:id="rId5"/>
  <tableParts count="3"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1F67-0DAE-4C0E-8918-C115EBFED2E7}">
  <dimension ref="A1:R43"/>
  <sheetViews>
    <sheetView showGridLines="0" workbookViewId="0">
      <selection activeCell="J10" sqref="J10"/>
    </sheetView>
  </sheetViews>
  <sheetFormatPr defaultRowHeight="15" x14ac:dyDescent="0.25"/>
  <cols>
    <col min="3" max="3" width="6.42578125" customWidth="1"/>
  </cols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28.5" x14ac:dyDescent="0.45">
      <c r="A2" s="4"/>
      <c r="B2" s="5"/>
      <c r="C2" s="5"/>
      <c r="D2" s="5"/>
      <c r="E2" s="5"/>
      <c r="F2" s="5"/>
      <c r="G2" s="5"/>
      <c r="H2" s="7"/>
      <c r="I2" s="8"/>
      <c r="J2" s="8"/>
      <c r="K2" s="8"/>
      <c r="L2" s="5"/>
      <c r="M2" s="5"/>
      <c r="N2" s="5"/>
      <c r="O2" s="5"/>
      <c r="P2" s="5"/>
      <c r="Q2" s="5"/>
      <c r="R2" s="5"/>
    </row>
    <row r="3" spans="1:18" x14ac:dyDescent="0.25">
      <c r="A3" s="4"/>
      <c r="B3" s="5"/>
      <c r="C3" s="5"/>
      <c r="D3" s="5"/>
      <c r="E3" s="5"/>
      <c r="F3" s="5"/>
      <c r="G3" s="5"/>
      <c r="H3" s="9"/>
      <c r="I3" s="10"/>
      <c r="J3" s="10"/>
      <c r="K3" s="10"/>
      <c r="L3" s="5"/>
      <c r="M3" s="5"/>
      <c r="N3" s="5"/>
      <c r="O3" s="5"/>
      <c r="P3" s="5"/>
      <c r="Q3" s="5"/>
      <c r="R3" s="5"/>
    </row>
    <row r="4" spans="1:18" ht="14.45" customHeight="1" x14ac:dyDescent="0.3">
      <c r="A4" s="4"/>
      <c r="B4" s="5"/>
      <c r="C4" s="5"/>
      <c r="D4" s="6"/>
      <c r="E4" s="6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4.45" customHeight="1" x14ac:dyDescent="0.3">
      <c r="A5" s="4"/>
      <c r="B5" s="5"/>
      <c r="C5" s="5"/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4.45" customHeight="1" x14ac:dyDescent="0.3">
      <c r="A6" s="4"/>
      <c r="B6" s="5"/>
      <c r="C6" s="5"/>
      <c r="D6" s="6"/>
      <c r="E6" s="6"/>
      <c r="F6" s="6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</sheetData>
  <mergeCells count="2">
    <mergeCell ref="H2:K2"/>
    <mergeCell ref="H3:K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B5BC9-A314-4FF9-A32C-16D1F08C6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suresh</dc:creator>
  <cp:lastModifiedBy>ADMIN</cp:lastModifiedBy>
  <dcterms:created xsi:type="dcterms:W3CDTF">2026-08-05T05:10:18Z</dcterms:created>
  <dcterms:modified xsi:type="dcterms:W3CDTF">2026-09-30T04:14:48Z</dcterms:modified>
</cp:coreProperties>
</file>