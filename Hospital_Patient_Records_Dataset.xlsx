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3CC5CB5-62B6-440F-874B-F4667072C3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1" sheetId="2" r:id="rId1"/>
    <sheet name="Scenario Summary" sheetId="4" r:id="rId2"/>
    <sheet name="Sheet1" sheetId="3" r:id="rId3"/>
  </sheets>
  <definedNames>
    <definedName name="ExternalData_1" localSheetId="0" hidden="1">Table1!$A$1:$Q$297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C2" i="3"/>
  <c r="A2" i="3"/>
  <c r="E180" i="2"/>
  <c r="E170" i="2"/>
  <c r="E123" i="2"/>
  <c r="E96" i="2"/>
  <c r="E261" i="2"/>
  <c r="E163" i="2"/>
  <c r="E185" i="2"/>
  <c r="E128" i="2"/>
  <c r="E269" i="2"/>
  <c r="E216" i="2"/>
  <c r="E23" i="2"/>
  <c r="E65" i="2"/>
  <c r="E283" i="2"/>
  <c r="E284" i="2"/>
  <c r="E256" i="2"/>
  <c r="E258" i="2"/>
  <c r="E193" i="2"/>
  <c r="E57" i="2"/>
  <c r="E129" i="2"/>
  <c r="E260" i="2"/>
  <c r="E145" i="2"/>
  <c r="E178" i="2"/>
  <c r="E34" i="2"/>
  <c r="E70" i="2"/>
  <c r="E268" i="2"/>
  <c r="E84" i="2"/>
  <c r="E220" i="2"/>
  <c r="E190" i="2"/>
  <c r="E78" i="2"/>
  <c r="E98" i="2"/>
  <c r="E93" i="2"/>
  <c r="E246" i="2"/>
  <c r="E125" i="2"/>
  <c r="E105" i="2"/>
  <c r="E215" i="2"/>
  <c r="E205" i="2"/>
  <c r="E117" i="2"/>
  <c r="E35" i="2"/>
  <c r="E2" i="2"/>
  <c r="E74" i="2"/>
  <c r="E32" i="2"/>
  <c r="E237" i="2"/>
  <c r="E91" i="2"/>
  <c r="E231" i="2"/>
  <c r="E245" i="2"/>
  <c r="E248" i="2"/>
  <c r="E267" i="2"/>
  <c r="E208" i="2"/>
  <c r="E94" i="2"/>
  <c r="E247" i="2"/>
  <c r="E181" i="2"/>
  <c r="E285" i="2"/>
  <c r="E289" i="2"/>
  <c r="E79" i="2"/>
  <c r="E64" i="2"/>
  <c r="E142" i="2"/>
  <c r="E46" i="2"/>
  <c r="E239" i="2"/>
  <c r="E132" i="2"/>
  <c r="E114" i="2"/>
  <c r="E17" i="2"/>
  <c r="E16" i="2"/>
  <c r="E187" i="2"/>
  <c r="E106" i="2"/>
  <c r="E68" i="2"/>
  <c r="E172" i="2"/>
  <c r="E194" i="2"/>
  <c r="E263" i="2"/>
  <c r="E221" i="2"/>
  <c r="E115" i="2"/>
  <c r="E108" i="2"/>
  <c r="E295" i="2"/>
  <c r="E270" i="2"/>
  <c r="E134" i="2"/>
  <c r="E71" i="2"/>
  <c r="E188" i="2"/>
  <c r="E296" i="2"/>
  <c r="E8" i="2"/>
  <c r="E36" i="2"/>
  <c r="E230" i="2"/>
  <c r="E120" i="2"/>
  <c r="E130" i="2"/>
  <c r="E131" i="2"/>
  <c r="E73" i="2"/>
  <c r="E5" i="2"/>
  <c r="E177" i="2"/>
  <c r="E144" i="2"/>
  <c r="E293" i="2"/>
  <c r="E12" i="2"/>
  <c r="E42" i="2"/>
  <c r="E252" i="2"/>
  <c r="E288" i="2"/>
  <c r="E112" i="2"/>
  <c r="E124" i="2"/>
  <c r="E265" i="2"/>
  <c r="E297" i="2"/>
  <c r="E259" i="2"/>
  <c r="E136" i="2"/>
  <c r="E186" i="2"/>
  <c r="E238" i="2"/>
  <c r="E4" i="2"/>
  <c r="E39" i="2"/>
  <c r="E33" i="2"/>
  <c r="E24" i="2"/>
  <c r="E135" i="2"/>
  <c r="E56" i="2"/>
  <c r="E72" i="2"/>
  <c r="E196" i="2"/>
  <c r="E275" i="2"/>
  <c r="E210" i="2"/>
  <c r="E290" i="2"/>
  <c r="E251" i="2"/>
  <c r="E9" i="2"/>
  <c r="E219" i="2"/>
  <c r="E119" i="2"/>
  <c r="E276" i="2"/>
  <c r="E278" i="2"/>
  <c r="E151" i="2"/>
  <c r="E37" i="2"/>
  <c r="E137" i="2"/>
  <c r="E88" i="2"/>
  <c r="E18" i="2"/>
  <c r="E236" i="2"/>
  <c r="E192" i="2"/>
  <c r="E244" i="2"/>
  <c r="E243" i="2"/>
  <c r="E127" i="2"/>
  <c r="E165" i="2"/>
  <c r="E253" i="2"/>
  <c r="E21" i="2"/>
  <c r="E54" i="2"/>
  <c r="E287" i="2"/>
  <c r="E77" i="2"/>
  <c r="E92" i="2"/>
  <c r="E203" i="2"/>
  <c r="E209" i="2"/>
  <c r="E167" i="2"/>
  <c r="E61" i="2"/>
  <c r="E262" i="2"/>
  <c r="E26" i="2"/>
  <c r="E222" i="2"/>
  <c r="E271" i="2"/>
  <c r="E158" i="2"/>
  <c r="E149" i="2"/>
  <c r="E166" i="2"/>
  <c r="E146" i="2"/>
  <c r="E44" i="2"/>
  <c r="E160" i="2"/>
  <c r="E175" i="2"/>
  <c r="E173" i="2"/>
  <c r="E14" i="2"/>
  <c r="E281" i="2"/>
  <c r="E100" i="2"/>
  <c r="E38" i="2"/>
  <c r="E218" i="2"/>
  <c r="E155" i="2"/>
  <c r="E86" i="2"/>
  <c r="E273" i="2"/>
  <c r="E233" i="2"/>
  <c r="E22" i="2"/>
  <c r="E240" i="2"/>
  <c r="E113" i="2"/>
  <c r="E235" i="2"/>
  <c r="E212" i="2"/>
  <c r="E282" i="2"/>
  <c r="E55" i="2"/>
  <c r="E242" i="2"/>
  <c r="E198" i="2"/>
  <c r="E89" i="2"/>
  <c r="E76" i="2"/>
  <c r="E58" i="2"/>
  <c r="E148" i="2"/>
  <c r="E249" i="2"/>
  <c r="E67" i="2"/>
  <c r="E6" i="2"/>
  <c r="E157" i="2"/>
  <c r="E179" i="2"/>
  <c r="E214" i="2"/>
  <c r="E40" i="2"/>
  <c r="E90" i="2"/>
  <c r="E140" i="2"/>
  <c r="E229" i="2"/>
  <c r="E28" i="2"/>
  <c r="E80" i="2"/>
  <c r="E30" i="2"/>
  <c r="E202" i="2"/>
  <c r="E99" i="2"/>
  <c r="E7" i="2"/>
  <c r="E266" i="2"/>
  <c r="E59" i="2"/>
  <c r="E161" i="2"/>
  <c r="E110" i="2"/>
  <c r="E118" i="2"/>
  <c r="E83" i="2"/>
  <c r="E3" i="2"/>
  <c r="E250" i="2"/>
  <c r="E111" i="2"/>
  <c r="E81" i="2"/>
  <c r="E201" i="2"/>
  <c r="E47" i="2"/>
  <c r="E27" i="2"/>
  <c r="E10" i="2"/>
  <c r="E133" i="2"/>
  <c r="E264" i="2"/>
  <c r="E197" i="2"/>
  <c r="E20" i="2"/>
  <c r="E63" i="2"/>
  <c r="E254" i="2"/>
  <c r="E48" i="2"/>
  <c r="E126" i="2"/>
  <c r="E13" i="2"/>
  <c r="E152" i="2"/>
  <c r="E50" i="2"/>
  <c r="E159" i="2"/>
  <c r="E31" i="2"/>
  <c r="E241" i="2"/>
  <c r="E171" i="2"/>
  <c r="E43" i="2"/>
  <c r="E217" i="2"/>
  <c r="E51" i="2"/>
  <c r="E122" i="2"/>
  <c r="E199" i="2"/>
  <c r="E183" i="2"/>
  <c r="E41" i="2"/>
  <c r="E174" i="2"/>
  <c r="E109" i="2"/>
  <c r="E107" i="2"/>
  <c r="E234" i="2"/>
  <c r="E49" i="2"/>
  <c r="E116" i="2"/>
  <c r="E223" i="2"/>
  <c r="E169" i="2"/>
  <c r="E150" i="2"/>
  <c r="E184" i="2"/>
  <c r="E154" i="2"/>
  <c r="E138" i="2"/>
  <c r="E257" i="2"/>
  <c r="E103" i="2"/>
  <c r="E272" i="2"/>
  <c r="E52" i="2"/>
  <c r="E121" i="2"/>
  <c r="E225" i="2"/>
  <c r="E85" i="2"/>
  <c r="E274" i="2"/>
  <c r="E25" i="2"/>
  <c r="E294" i="2"/>
  <c r="E153" i="2"/>
  <c r="E227" i="2"/>
  <c r="E204" i="2"/>
  <c r="E189" i="2"/>
  <c r="E211" i="2"/>
  <c r="E102" i="2"/>
  <c r="E195" i="2"/>
  <c r="E29" i="2"/>
  <c r="E277" i="2"/>
  <c r="E226" i="2"/>
  <c r="E200" i="2"/>
  <c r="E286" i="2"/>
  <c r="E176" i="2"/>
  <c r="E213" i="2"/>
  <c r="E291" i="2"/>
  <c r="E53" i="2"/>
  <c r="E66" i="2"/>
  <c r="E141" i="2"/>
  <c r="E45" i="2"/>
  <c r="E206" i="2"/>
  <c r="E168" i="2"/>
  <c r="E143" i="2"/>
  <c r="E156" i="2"/>
  <c r="E15" i="2"/>
  <c r="E82" i="2"/>
  <c r="E255" i="2"/>
  <c r="E279" i="2"/>
  <c r="E292" i="2"/>
  <c r="E104" i="2"/>
  <c r="E162" i="2"/>
  <c r="E87" i="2"/>
  <c r="E75" i="2"/>
  <c r="E164" i="2"/>
  <c r="E280" i="2"/>
  <c r="E62" i="2"/>
  <c r="E232" i="2"/>
  <c r="E69" i="2"/>
  <c r="E60" i="2"/>
  <c r="E207" i="2"/>
  <c r="E182" i="2"/>
  <c r="E224" i="2"/>
  <c r="E139" i="2"/>
  <c r="E11" i="2"/>
  <c r="E228" i="2"/>
  <c r="E97" i="2"/>
  <c r="E147" i="2"/>
  <c r="E95" i="2"/>
  <c r="E19" i="2"/>
  <c r="E101" i="2"/>
  <c r="E191" i="2"/>
  <c r="O180" i="2"/>
  <c r="O170" i="2"/>
  <c r="O123" i="2"/>
  <c r="O96" i="2"/>
  <c r="O261" i="2"/>
  <c r="O163" i="2"/>
  <c r="O185" i="2"/>
  <c r="O128" i="2"/>
  <c r="O269" i="2"/>
  <c r="O216" i="2"/>
  <c r="O23" i="2"/>
  <c r="O65" i="2"/>
  <c r="O283" i="2"/>
  <c r="O284" i="2"/>
  <c r="O256" i="2"/>
  <c r="O258" i="2"/>
  <c r="O193" i="2"/>
  <c r="O57" i="2"/>
  <c r="O129" i="2"/>
  <c r="O260" i="2"/>
  <c r="O145" i="2"/>
  <c r="O178" i="2"/>
  <c r="O34" i="2"/>
  <c r="O70" i="2"/>
  <c r="O268" i="2"/>
  <c r="O84" i="2"/>
  <c r="O220" i="2"/>
  <c r="O190" i="2"/>
  <c r="O78" i="2"/>
  <c r="O98" i="2"/>
  <c r="O93" i="2"/>
  <c r="O246" i="2"/>
  <c r="O125" i="2"/>
  <c r="O105" i="2"/>
  <c r="O215" i="2"/>
  <c r="O205" i="2"/>
  <c r="O117" i="2"/>
  <c r="O35" i="2"/>
  <c r="O2" i="2"/>
  <c r="O74" i="2"/>
  <c r="O32" i="2"/>
  <c r="O237" i="2"/>
  <c r="O91" i="2"/>
  <c r="O231" i="2"/>
  <c r="O245" i="2"/>
  <c r="O248" i="2"/>
  <c r="O267" i="2"/>
  <c r="O208" i="2"/>
  <c r="O94" i="2"/>
  <c r="O247" i="2"/>
  <c r="O181" i="2"/>
  <c r="O285" i="2"/>
  <c r="O289" i="2"/>
  <c r="O79" i="2"/>
  <c r="O64" i="2"/>
  <c r="O142" i="2"/>
  <c r="O46" i="2"/>
  <c r="O239" i="2"/>
  <c r="O132" i="2"/>
  <c r="O114" i="2"/>
  <c r="O17" i="2"/>
  <c r="O16" i="2"/>
  <c r="O187" i="2"/>
  <c r="O106" i="2"/>
  <c r="O68" i="2"/>
  <c r="O172" i="2"/>
  <c r="O194" i="2"/>
  <c r="O263" i="2"/>
  <c r="O221" i="2"/>
  <c r="O115" i="2"/>
  <c r="O108" i="2"/>
  <c r="O295" i="2"/>
  <c r="O270" i="2"/>
  <c r="O134" i="2"/>
  <c r="O71" i="2"/>
  <c r="O188" i="2"/>
  <c r="O296" i="2"/>
  <c r="O8" i="2"/>
  <c r="O36" i="2"/>
  <c r="O230" i="2"/>
  <c r="O120" i="2"/>
  <c r="O130" i="2"/>
  <c r="O131" i="2"/>
  <c r="O73" i="2"/>
  <c r="O5" i="2"/>
  <c r="O177" i="2"/>
  <c r="O144" i="2"/>
  <c r="O293" i="2"/>
  <c r="O12" i="2"/>
  <c r="O42" i="2"/>
  <c r="O252" i="2"/>
  <c r="O288" i="2"/>
  <c r="O112" i="2"/>
  <c r="O124" i="2"/>
  <c r="O265" i="2"/>
  <c r="O297" i="2"/>
  <c r="O259" i="2"/>
  <c r="O136" i="2"/>
  <c r="O186" i="2"/>
  <c r="O238" i="2"/>
  <c r="O4" i="2"/>
  <c r="O39" i="2"/>
  <c r="O33" i="2"/>
  <c r="O24" i="2"/>
  <c r="O135" i="2"/>
  <c r="O56" i="2"/>
  <c r="O72" i="2"/>
  <c r="O196" i="2"/>
  <c r="O275" i="2"/>
  <c r="O210" i="2"/>
  <c r="O290" i="2"/>
  <c r="O251" i="2"/>
  <c r="O9" i="2"/>
  <c r="O219" i="2"/>
  <c r="O119" i="2"/>
  <c r="O276" i="2"/>
  <c r="O278" i="2"/>
  <c r="O151" i="2"/>
  <c r="O37" i="2"/>
  <c r="O137" i="2"/>
  <c r="O88" i="2"/>
  <c r="O18" i="2"/>
  <c r="O236" i="2"/>
  <c r="O192" i="2"/>
  <c r="O244" i="2"/>
  <c r="O243" i="2"/>
  <c r="O127" i="2"/>
  <c r="O165" i="2"/>
  <c r="O253" i="2"/>
  <c r="O21" i="2"/>
  <c r="O54" i="2"/>
  <c r="O287" i="2"/>
  <c r="O77" i="2"/>
  <c r="O92" i="2"/>
  <c r="O203" i="2"/>
  <c r="O209" i="2"/>
  <c r="O167" i="2"/>
  <c r="O61" i="2"/>
  <c r="O262" i="2"/>
  <c r="O26" i="2"/>
  <c r="O222" i="2"/>
  <c r="O271" i="2"/>
  <c r="O158" i="2"/>
  <c r="O149" i="2"/>
  <c r="O166" i="2"/>
  <c r="O146" i="2"/>
  <c r="O44" i="2"/>
  <c r="O160" i="2"/>
  <c r="O175" i="2"/>
  <c r="O173" i="2"/>
  <c r="O14" i="2"/>
  <c r="O281" i="2"/>
  <c r="O100" i="2"/>
  <c r="O38" i="2"/>
  <c r="O218" i="2"/>
  <c r="O155" i="2"/>
  <c r="O86" i="2"/>
  <c r="O273" i="2"/>
  <c r="O233" i="2"/>
  <c r="O22" i="2"/>
  <c r="O240" i="2"/>
  <c r="O113" i="2"/>
  <c r="O235" i="2"/>
  <c r="O212" i="2"/>
  <c r="O282" i="2"/>
  <c r="O55" i="2"/>
  <c r="O242" i="2"/>
  <c r="O198" i="2"/>
  <c r="O89" i="2"/>
  <c r="O76" i="2"/>
  <c r="O58" i="2"/>
  <c r="O148" i="2"/>
  <c r="O249" i="2"/>
  <c r="O67" i="2"/>
  <c r="O6" i="2"/>
  <c r="O157" i="2"/>
  <c r="O179" i="2"/>
  <c r="O214" i="2"/>
  <c r="O40" i="2"/>
  <c r="O90" i="2"/>
  <c r="O140" i="2"/>
  <c r="O229" i="2"/>
  <c r="O28" i="2"/>
  <c r="O80" i="2"/>
  <c r="O30" i="2"/>
  <c r="O202" i="2"/>
  <c r="O99" i="2"/>
  <c r="O7" i="2"/>
  <c r="O266" i="2"/>
  <c r="O59" i="2"/>
  <c r="O161" i="2"/>
  <c r="O110" i="2"/>
  <c r="O118" i="2"/>
  <c r="O83" i="2"/>
  <c r="O3" i="2"/>
  <c r="O250" i="2"/>
  <c r="O111" i="2"/>
  <c r="O81" i="2"/>
  <c r="O201" i="2"/>
  <c r="O47" i="2"/>
  <c r="O27" i="2"/>
  <c r="O10" i="2"/>
  <c r="O133" i="2"/>
  <c r="O264" i="2"/>
  <c r="O197" i="2"/>
  <c r="O20" i="2"/>
  <c r="O63" i="2"/>
  <c r="O254" i="2"/>
  <c r="O48" i="2"/>
  <c r="O126" i="2"/>
  <c r="O13" i="2"/>
  <c r="O152" i="2"/>
  <c r="O50" i="2"/>
  <c r="O159" i="2"/>
  <c r="O31" i="2"/>
  <c r="O241" i="2"/>
  <c r="O171" i="2"/>
  <c r="O43" i="2"/>
  <c r="O217" i="2"/>
  <c r="O51" i="2"/>
  <c r="O122" i="2"/>
  <c r="O199" i="2"/>
  <c r="O183" i="2"/>
  <c r="O41" i="2"/>
  <c r="O174" i="2"/>
  <c r="O109" i="2"/>
  <c r="O107" i="2"/>
  <c r="O234" i="2"/>
  <c r="O49" i="2"/>
  <c r="O116" i="2"/>
  <c r="O223" i="2"/>
  <c r="O169" i="2"/>
  <c r="O150" i="2"/>
  <c r="O184" i="2"/>
  <c r="O154" i="2"/>
  <c r="O138" i="2"/>
  <c r="O257" i="2"/>
  <c r="O103" i="2"/>
  <c r="O272" i="2"/>
  <c r="O52" i="2"/>
  <c r="O121" i="2"/>
  <c r="O225" i="2"/>
  <c r="O85" i="2"/>
  <c r="O274" i="2"/>
  <c r="O25" i="2"/>
  <c r="O294" i="2"/>
  <c r="O153" i="2"/>
  <c r="O227" i="2"/>
  <c r="O204" i="2"/>
  <c r="O189" i="2"/>
  <c r="O211" i="2"/>
  <c r="O102" i="2"/>
  <c r="O195" i="2"/>
  <c r="O29" i="2"/>
  <c r="O277" i="2"/>
  <c r="O226" i="2"/>
  <c r="O200" i="2"/>
  <c r="O286" i="2"/>
  <c r="O176" i="2"/>
  <c r="O213" i="2"/>
  <c r="O291" i="2"/>
  <c r="O53" i="2"/>
  <c r="O66" i="2"/>
  <c r="O141" i="2"/>
  <c r="O45" i="2"/>
  <c r="O206" i="2"/>
  <c r="O168" i="2"/>
  <c r="O143" i="2"/>
  <c r="O156" i="2"/>
  <c r="O15" i="2"/>
  <c r="O82" i="2"/>
  <c r="O255" i="2"/>
  <c r="O279" i="2"/>
  <c r="O292" i="2"/>
  <c r="O104" i="2"/>
  <c r="O162" i="2"/>
  <c r="O87" i="2"/>
  <c r="O75" i="2"/>
  <c r="O164" i="2"/>
  <c r="O280" i="2"/>
  <c r="O62" i="2"/>
  <c r="O232" i="2"/>
  <c r="O69" i="2"/>
  <c r="O60" i="2"/>
  <c r="O207" i="2"/>
  <c r="O182" i="2"/>
  <c r="O224" i="2"/>
  <c r="O139" i="2"/>
  <c r="O11" i="2"/>
  <c r="O228" i="2"/>
  <c r="O97" i="2"/>
  <c r="O147" i="2"/>
  <c r="O95" i="2"/>
  <c r="O19" i="2"/>
  <c r="O101" i="2"/>
  <c r="O191" i="2"/>
  <c r="N304" i="2"/>
  <c r="N303" i="2"/>
  <c r="N302" i="2"/>
  <c r="N301" i="2"/>
  <c r="N298" i="2"/>
  <c r="N300" i="2" s="1"/>
  <c r="N29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DF9FA-B269-46CA-9BCA-57427CEA81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<sst xmlns="http://schemas.openxmlformats.org/spreadsheetml/2006/main" count="2992" uniqueCount="360">
  <si>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</si>
  <si>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</si>
  <si>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</si>
  <si>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</si>
  <si>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</si>
  <si>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</si>
  <si>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</si>
  <si>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</si>
  <si>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</si>
  <si>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</si>
  <si>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</si>
  <si>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</si>
  <si>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</si>
  <si>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</si>
  <si>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</si>
  <si>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>FEMALE</t>
  </si>
  <si>
    <t>O+</t>
  </si>
  <si>
    <t>KOCHI</t>
  </si>
  <si>
    <t>P1002</t>
  </si>
  <si>
    <t>MALE</t>
  </si>
  <si>
    <t>AB+</t>
  </si>
  <si>
    <t>P1003</t>
  </si>
  <si>
    <t>B+</t>
  </si>
  <si>
    <t>ICU</t>
  </si>
  <si>
    <t>P1004</t>
  </si>
  <si>
    <t>P1005</t>
  </si>
  <si>
    <t>A+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</si>
  <si>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</si>
  <si>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</si>
  <si>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</si>
  <si>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</si>
  <si>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</si>
  <si>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</si>
  <si>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</si>
  <si>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</si>
  <si>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</si>
  <si>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</si>
  <si>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</si>
  <si>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</si>
  <si>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</si>
  <si>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</si>
  <si>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</si>
  <si>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</si>
  <si>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</si>
  <si>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</si>
  <si>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</si>
  <si>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</si>
  <si>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</si>
  <si>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</si>
  <si>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</si>
  <si>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</si>
  <si>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</si>
  <si>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</si>
  <si>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</si>
  <si>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</si>
  <si>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</si>
  <si>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</si>
  <si>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</si>
  <si>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</si>
  <si>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</si>
  <si>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</si>
  <si>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</si>
  <si>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</si>
  <si>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</si>
  <si>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</si>
  <si>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</si>
  <si>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</si>
  <si>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</si>
  <si>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</si>
  <si>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</si>
  <si>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</si>
  <si>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</si>
  <si>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</si>
  <si>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</si>
  <si>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</si>
  <si>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</si>
  <si>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</si>
  <si>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</si>
  <si>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</si>
  <si>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</si>
  <si>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</si>
  <si>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</si>
  <si>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</si>
  <si>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</si>
  <si>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</si>
  <si>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</si>
  <si>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</si>
  <si>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</si>
  <si>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</si>
  <si>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</si>
  <si>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</si>
  <si>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</si>
  <si>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</si>
  <si>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</si>
  <si>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</si>
  <si>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</si>
  <si>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</si>
  <si>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</si>
  <si>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</si>
  <si>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</si>
  <si>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</si>
  <si>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</si>
  <si>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</si>
  <si>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</si>
  <si>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</si>
  <si>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</si>
  <si>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</si>
  <si>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</si>
  <si>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</si>
  <si>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</si>
  <si>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</si>
  <si>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</si>
  <si>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</si>
  <si>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</si>
  <si>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</si>
  <si>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</si>
  <si>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</si>
  <si>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</si>
  <si>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</si>
  <si>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</si>
  <si>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</si>
  <si>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</si>
  <si>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</si>
  <si>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</si>
  <si>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</si>
  <si>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</si>
  <si>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</si>
  <si>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</si>
  <si>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</si>
  <si>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</si>
  <si>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</si>
  <si>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</si>
  <si>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</si>
  <si>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</si>
  <si>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</si>
  <si>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</si>
  <si>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</si>
  <si>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</si>
  <si>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</si>
  <si>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</si>
  <si>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</si>
  <si>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</si>
  <si>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</si>
  <si>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</si>
  <si>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</si>
  <si>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</si>
  <si>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</si>
  <si>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</si>
  <si>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</si>
  <si>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</si>
  <si>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</si>
  <si>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</si>
  <si>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</si>
  <si>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</si>
  <si>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</si>
  <si>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</si>
  <si>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</si>
  <si>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</si>
  <si>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</si>
  <si>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</si>
  <si>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</si>
  <si>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</si>
  <si>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</si>
  <si>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</si>
  <si>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</si>
  <si>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</si>
  <si>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</si>
  <si>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</si>
  <si>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</si>
  <si>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</si>
  <si>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</si>
  <si>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</si>
  <si>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</si>
  <si>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</si>
  <si>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</si>
  <si>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</si>
  <si>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</si>
  <si>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</si>
  <si>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</si>
  <si>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</si>
  <si>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</si>
  <si>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</si>
  <si>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</si>
  <si>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</si>
  <si>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</si>
  <si>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</si>
  <si>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</si>
  <si>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</si>
  <si>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</si>
  <si>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</si>
  <si>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</si>
  <si>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</si>
  <si>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</si>
  <si>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</si>
  <si>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</si>
  <si>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</si>
  <si>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</si>
  <si>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</si>
  <si>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</si>
  <si>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</si>
  <si>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</si>
  <si>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</si>
  <si>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</si>
  <si>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</si>
  <si>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</si>
  <si>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</si>
  <si>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</si>
  <si>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</si>
  <si>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</si>
  <si>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</si>
  <si>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</si>
  <si>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</si>
  <si>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</si>
  <si>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</si>
  <si>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</si>
  <si>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</si>
  <si>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</si>
  <si>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</si>
  <si>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</si>
  <si>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</si>
  <si>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</si>
  <si>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</si>
  <si>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</si>
  <si>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</si>
  <si>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</si>
  <si>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</si>
  <si>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</si>
  <si>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</si>
  <si>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</si>
  <si>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</si>
  <si>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</si>
  <si>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</si>
  <si>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</si>
  <si>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</si>
  <si>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</si>
  <si>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</si>
  <si>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</si>
  <si>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</si>
  <si>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</si>
  <si>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</si>
  <si>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</si>
  <si>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</si>
  <si>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</si>
  <si>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</si>
  <si>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</si>
  <si>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</si>
  <si>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</si>
  <si>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</si>
  <si>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</si>
  <si>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</si>
  <si>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</si>
  <si>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</si>
  <si>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</si>
  <si>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</si>
  <si>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</si>
  <si>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</si>
  <si>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</si>
  <si>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</si>
  <si>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</si>
  <si>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</si>
  <si>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</si>
  <si>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</si>
  <si>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</si>
  <si>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</si>
  <si>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</si>
  <si>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</si>
  <si>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</si>
  <si>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</si>
  <si>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</si>
  <si>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</si>
  <si>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</si>
  <si>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</si>
  <si>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</si>
  <si>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</si>
  <si>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</si>
  <si>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</si>
  <si>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</si>
  <si>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</si>
  <si>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</si>
  <si>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</si>
  <si>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</si>
  <si>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</si>
  <si>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</si>
  <si>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</si>
  <si>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</si>
  <si>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</si>
  <si>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</si>
  <si>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</si>
  <si>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</si>
  <si>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</si>
  <si>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</si>
  <si>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</si>
  <si>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</si>
  <si>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</si>
  <si>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</si>
  <si>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</si>
  <si>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</si>
  <si>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</si>
  <si>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</si>
  <si>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</si>
  <si>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</si>
  <si>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</si>
  <si>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</si>
  <si>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</si>
  <si>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</si>
  <si>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</si>
  <si>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</si>
  <si>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</si>
  <si>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</si>
  <si>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</si>
  <si>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</si>
  <si>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</si>
  <si>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</si>
  <si>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</si>
  <si>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</si>
  <si>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</si>
  <si>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</si>
  <si>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</si>
  <si>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</si>
  <si>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CARDIO</t>
  </si>
  <si>
    <t>DR. RAVI</t>
  </si>
  <si>
    <t>FRACTURE</t>
  </si>
  <si>
    <t>NOT INSURED</t>
  </si>
  <si>
    <t>GENERAL</t>
  </si>
  <si>
    <t>RAHUL DAS</t>
  </si>
  <si>
    <t>GEN MED</t>
  </si>
  <si>
    <t>DR. JOSE</t>
  </si>
  <si>
    <t>CALICUT</t>
  </si>
  <si>
    <t>FEVER</t>
  </si>
  <si>
    <t>ORTHOPEDICS</t>
  </si>
  <si>
    <t>DIABETES</t>
  </si>
  <si>
    <t>INSURED</t>
  </si>
  <si>
    <t>KOZHIKODE</t>
  </si>
  <si>
    <t>PRIVATE</t>
  </si>
  <si>
    <t>MEERA  K</t>
  </si>
  <si>
    <t>MIGRAINE</t>
  </si>
  <si>
    <t>DR. ANU</t>
  </si>
  <si>
    <t>JOHN DOE</t>
  </si>
  <si>
    <t>DR. MAYA</t>
  </si>
  <si>
    <t>TRIVANDRUM</t>
  </si>
  <si>
    <t>ANITA  JOSEPH</t>
  </si>
  <si>
    <t>PRIYA NAIR</t>
  </si>
  <si>
    <t>NEUROLOGY</t>
  </si>
  <si>
    <t>4</t>
  </si>
  <si>
    <t>12</t>
  </si>
  <si>
    <t>13</t>
  </si>
  <si>
    <t>TOTAL COST</t>
  </si>
  <si>
    <t>%</t>
  </si>
  <si>
    <t>INCREASE</t>
  </si>
  <si>
    <t>$B$2</t>
  </si>
  <si>
    <t>$C$2</t>
  </si>
  <si>
    <t>Created by USER on 7/26/2026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</si>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</sst>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3" xfId="0" applyBorder="1"/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5" xfId="0" applyBorder="1"/>
    <xf numFmtId="0" fontId="3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double">
          <color theme="9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4D759F-1EAD-4FAF-92B9-9467248477F9}" autoFormatId="16" applyNumberFormats="0" applyBorderFormats="0" applyFontFormats="0" applyPatternFormats="0" applyAlignmentFormats="0" applyWidthHeightFormats="0">
  <queryTableRefresh nextId="18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17" dataBound="0" tableColumnId="17"/>
      <queryTableField id="15" dataBound="0" tableColumnId="15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6" dataBound="0" tableColumnId="16"/>
      <queryTableField id="13" name="Insurance Status" tableColumnId="13"/>
      <queryTableField id="14" name="Room Typ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47E03-0057-4DC1-985F-1F93471B2805}" name="Table1_1" displayName="Table1_1" ref="A1:Q298" tableType="queryTable" totalsRowCount="1">
  <autoFilter ref="A1:Q297" xr:uid="{C4047E03-0057-4DC1-985F-1F93471B2805}"/>
  <sortState xmlns:xlrd2="http://schemas.microsoft.com/office/spreadsheetml/2017/richdata2" ref="A2:Q297">
    <sortCondition descending="1" ref="N1:N297"/>
  </sortState>
  <tableColumns count="17">
    <tableColumn id="1" xr3:uid="{D060E26D-5D48-4B68-BB13-4C6C848FA8F1}" uniqueName="1" name="Patient ID" queryTableFieldId="1" dataDxfId="22"/>
    <tableColumn id="2" xr3:uid="{2ADFD0ED-DEE9-4C71-862A-4E9B390CE31B}" uniqueName="2" name="Patient Name" queryTableFieldId="2" dataDxfId="21"/>
    <tableColumn id="3" xr3:uid="{5C25954B-0A3D-42CC-BCFD-D6BDB2713C79}" uniqueName="3" name="Gender" queryTableFieldId="3" dataDxfId="20"/>
    <tableColumn id="4" xr3:uid="{332B111D-FDE9-4058-89FC-C4A0E4F40F4A}" uniqueName="4" name="Age" queryTableFieldId="4"/>
    <tableColumn id="17" xr3:uid="{84BF7757-FEC2-44A2-AAA4-D371B866B47C}" uniqueName="17" name="13" queryTableFieldId="17" dataDxfId="19">
      <calculatedColumnFormula>IF(Table1_1[[#This Row],[Age]]&lt;=18,"CHILD",IF(Table1_1[[#This Row],[Age]]&lt;59,"ADULT","SENIOR"))</calculatedColumnFormula>
    </tableColumn>
    <tableColumn id="15" xr3:uid="{16709160-9DDB-4583-BC5E-9DFDB05BC15C}" uniqueName="15" name="14" queryTableFieldId="15" dataDxfId="18">
      <calculatedColumnFormula>IF(AND(Table1_1[[#This Row],[Age]]&gt;=60,Table1_1[[#This Row],[Insurance Status]]="INSURED"),"SENIOR ELIGIBLE","NOT ELIGIBLE")</calculatedColumnFormula>
    </tableColumn>
    <tableColumn id="5" xr3:uid="{3D65BF61-A78F-4EBB-858A-CAA72527B7B9}" uniqueName="5" name="Blood Group" queryTableFieldId="5" dataDxfId="17"/>
    <tableColumn id="6" xr3:uid="{BAB80B06-B005-4BB6-BE86-8ABF0C732C73}" uniqueName="6" name="Department" queryTableFieldId="6" dataDxfId="16"/>
    <tableColumn id="7" xr3:uid="{879592C7-2088-44B3-8BBD-60E99CAF7B59}" uniqueName="7" name="Doctor Name" queryTableFieldId="7" dataDxfId="15"/>
    <tableColumn id="8" xr3:uid="{B52D2E2E-8683-4B35-BA3C-BF08009D70F2}" uniqueName="8" name="Admission Date" queryTableFieldId="8" dataDxfId="14" totalsRowDxfId="13"/>
    <tableColumn id="9" xr3:uid="{BD8A0854-8A47-4A86-AD1E-EE6A2E99C4B7}" uniqueName="9" name="Discharge Date" queryTableFieldId="9" dataDxfId="12" totalsRowDxfId="11"/>
    <tableColumn id="10" xr3:uid="{61237BAA-D5CB-46A1-86B9-B57ABD8C77C2}" uniqueName="10" name="City" queryTableFieldId="10" dataDxfId="10"/>
    <tableColumn id="11" xr3:uid="{57950219-D7B5-4027-B08B-6F7AC246AE6B}" uniqueName="11" name="Diagnosis" totalsRowLabel="4" queryTableFieldId="11" dataDxfId="9"/>
    <tableColumn id="12" xr3:uid="{47182A58-0DCA-448E-A8D1-BDE1810E3BC9}" uniqueName="12" name="Treatment Cost" totalsRowFunction="custom" queryTableFieldId="12">
      <totalsRowFormula>SUM(Table1_1[Treatment Cost])</totalsRowFormula>
    </tableColumn>
    <tableColumn id="16" xr3:uid="{6A9D0F53-CB59-4A36-9C8B-2FA044E134C3}" uniqueName="16" name="12" queryTableFieldId="16" dataDxfId="8">
      <calculatedColumnFormula>IF(OR(Table1_1[[#This Row],[Treatment Cost]]&gt;=20000,Table1_1[[#Headers],[Room Type]]="ICU"),"HIGH COST","NORMAL COST")</calculatedColumnFormula>
    </tableColumn>
    <tableColumn id="13" xr3:uid="{B331DE64-35A1-424D-9360-44A6BFF4EC14}" uniqueName="13" name="Insurance Status" queryTableFieldId="13" dataDxfId="7"/>
    <tableColumn id="14" xr3:uid="{711801FF-7385-470F-A8E1-BFBB7903E3B1}" uniqueName="14" name="Room Type" queryTableFieldId="1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BA2B6-C589-4245-8465-F52160D0D965}" name="Table1" displayName="Table1" ref="A1:C2" totalsRowShown="0">
  <autoFilter ref="A1:C2" xr:uid="{C09BA2B6-C589-4245-8465-F52160D0D965}"/>
  <tableColumns count="3">
    <tableColumn id="1" xr3:uid="{59083419-582D-434D-9FEF-CAEC901B2029}" name="TOTAL COST" dataDxfId="5">
      <calculatedColumnFormula>SUM(Table1_1[Treatment Cost])</calculatedColumnFormula>
    </tableColumn>
    <tableColumn id="2" xr3:uid="{18BD2441-9261-473A-A319-47FA349F8F8A}" name="%"/>
    <tableColumn id="3" xr3:uid="{2715234A-EE51-4251-874F-86B9D3C78064}" name="INCREASE">
      <calculatedColumnFormula>A2*(1+B2)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17D-B974-422A-8608-0EB14F43670F}">
  <dimension ref="A1:Q305"/>
  <sheetViews>
    <sheetView tabSelected="1" topLeftCell="G1" workbookViewId="0">
      <selection activeCell="F4" sqref="F4"/>
    </sheetView>
  </sheetViews>
  <sheetFormatPr defaultRowHeight="14.5" x14ac:dyDescent="0.35"/>
  <cols>
    <col min="1" max="1" width="11.453125" bestFit="1" customWidth="1"/>
    <col min="2" max="2" width="15.1796875" bestFit="1" customWidth="1"/>
    <col min="3" max="3" width="9.26953125" bestFit="1" customWidth="1"/>
    <col min="4" max="4" width="6.1796875" bestFit="1" customWidth="1"/>
    <col min="5" max="5" width="11.54296875" customWidth="1"/>
    <col min="6" max="6" width="14.6328125" bestFit="1" customWidth="1"/>
    <col min="7" max="7" width="13.6328125" bestFit="1" customWidth="1"/>
    <col min="8" max="8" width="13.36328125" bestFit="1" customWidth="1"/>
    <col min="9" max="9" width="14.1796875" bestFit="1" customWidth="1"/>
    <col min="10" max="10" width="16.26953125" bestFit="1" customWidth="1"/>
    <col min="11" max="11" width="15.7265625" bestFit="1" customWidth="1"/>
    <col min="12" max="12" width="12.36328125" bestFit="1" customWidth="1"/>
    <col min="13" max="13" width="11" bestFit="1" customWidth="1"/>
    <col min="14" max="14" width="16.26953125" bestFit="1" customWidth="1"/>
    <col min="15" max="15" width="16.26953125" customWidth="1"/>
    <col min="16" max="16" width="17.08984375" bestFit="1" customWidth="1"/>
    <col min="17" max="17" width="12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345</v>
      </c>
      <c r="F1" t="s">
        <v>359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344</v>
      </c>
      <c r="P1" t="s">
        <v>12</v>
      </c>
      <c r="Q1" t="s">
        <v>13</v>
      </c>
    </row>
    <row r="2" spans="1:17" x14ac:dyDescent="0.35">
      <c r="A2" t="s">
        <v>60</v>
      </c>
      <c r="B2" t="s">
        <v>340</v>
      </c>
      <c r="C2" t="s">
        <v>19</v>
      </c>
      <c r="D2">
        <v>55</v>
      </c>
      <c r="E2" t="str">
        <f>IF(Table1_1[[#This Row],[Age]]&lt;=18,"CHILD",IF(Table1_1[[#This Row],[Age]]&lt;59,"ADULT","SENIOR"))</f>
        <v>ADULT</v>
      </c>
      <c r="F2" t="str">
        <f>IF(AND(Table1_1[[#This Row],[Age]]&gt;=60,Table1_1[[#This Row],[Insurance Status]]="INSURED"),"SENIOR ELIGIBLE","NOT ELIGIBLE")</f>
        <v>NOT ELIGIBLE</v>
      </c>
      <c r="G2" t="s">
        <v>16</v>
      </c>
      <c r="H2" t="s">
        <v>329</v>
      </c>
      <c r="I2" t="s">
        <v>326</v>
      </c>
      <c r="J2" s="1">
        <v>46039</v>
      </c>
      <c r="K2" s="1">
        <v>46040</v>
      </c>
      <c r="L2" t="s">
        <v>327</v>
      </c>
      <c r="M2" t="s">
        <v>330</v>
      </c>
      <c r="N2">
        <v>49958</v>
      </c>
      <c r="O2" t="str">
        <f>IF(OR(Table1_1[[#This Row],[Treatment Cost]]&gt;=20000,Table1_1[[#Headers],[Room Type]]="ICU"),"HIGH COST","NORMAL COST")</f>
        <v>HIGH COST</v>
      </c>
      <c r="P2" t="s">
        <v>322</v>
      </c>
      <c r="Q2" t="s">
        <v>323</v>
      </c>
    </row>
    <row r="3" spans="1:17" x14ac:dyDescent="0.35">
      <c r="A3" t="s">
        <v>216</v>
      </c>
      <c r="B3" t="s">
        <v>337</v>
      </c>
      <c r="C3" t="s">
        <v>15</v>
      </c>
      <c r="D3">
        <v>23</v>
      </c>
      <c r="E3" t="str">
        <f>IF(Table1_1[[#This Row],[Age]]&lt;=18,"CHILD",IF(Table1_1[[#This Row],[Age]]&lt;59,"ADULT","SENIOR"))</f>
        <v>ADULT</v>
      </c>
      <c r="F3" t="str">
        <f>IF(AND(Table1_1[[#This Row],[Age]]&gt;=60,Table1_1[[#This Row],[Insurance Status]]="INSURED"),"SENIOR ELIGIBLE","NOT ELIGIBLE")</f>
        <v>NOT ELIGIBLE</v>
      </c>
      <c r="G3" t="s">
        <v>26</v>
      </c>
      <c r="H3" t="s">
        <v>319</v>
      </c>
      <c r="I3" t="s">
        <v>336</v>
      </c>
      <c r="J3" s="1">
        <v>46181</v>
      </c>
      <c r="K3" s="1">
        <v>46182</v>
      </c>
      <c r="L3" t="s">
        <v>332</v>
      </c>
      <c r="M3" t="s">
        <v>335</v>
      </c>
      <c r="N3">
        <v>49321</v>
      </c>
      <c r="O3" t="str">
        <f>IF(OR(Table1_1[[#This Row],[Treatment Cost]]&gt;=20000,Table1_1[[#Headers],[Room Type]]="ICU"),"HIGH COST","NORMAL COST")</f>
        <v>HIGH COST</v>
      </c>
      <c r="P3" t="s">
        <v>322</v>
      </c>
      <c r="Q3" t="s">
        <v>323</v>
      </c>
    </row>
    <row r="4" spans="1:17" x14ac:dyDescent="0.35">
      <c r="A4" t="s">
        <v>122</v>
      </c>
      <c r="B4" t="s">
        <v>318</v>
      </c>
      <c r="C4" t="s">
        <v>15</v>
      </c>
      <c r="D4">
        <v>50</v>
      </c>
      <c r="E4" t="str">
        <f>IF(Table1_1[[#This Row],[Age]]&lt;=18,"CHILD",IF(Table1_1[[#This Row],[Age]]&lt;59,"ADULT","SENIOR"))</f>
        <v>ADULT</v>
      </c>
      <c r="F4" t="str">
        <f>IF(AND(Table1_1[[#This Row],[Age]]&gt;=60,Table1_1[[#This Row],[Insurance Status]]="INSURED"),"SENIOR ELIGIBLE","NOT ELIGIBLE")</f>
        <v>NOT ELIGIBLE</v>
      </c>
      <c r="G4" t="s">
        <v>20</v>
      </c>
      <c r="H4" t="s">
        <v>319</v>
      </c>
      <c r="I4" t="s">
        <v>336</v>
      </c>
      <c r="J4" s="1">
        <v>46114</v>
      </c>
      <c r="K4" s="1">
        <v>46121</v>
      </c>
      <c r="L4" t="s">
        <v>327</v>
      </c>
      <c r="M4" t="s">
        <v>330</v>
      </c>
      <c r="N4">
        <v>48952</v>
      </c>
      <c r="O4" t="str">
        <f>IF(OR(Table1_1[[#This Row],[Treatment Cost]]&gt;=20000,Table1_1[[#Headers],[Room Type]]="ICU"),"HIGH COST","NORMAL COST")</f>
        <v>HIGH COST</v>
      </c>
      <c r="P4" t="s">
        <v>331</v>
      </c>
      <c r="Q4" t="s">
        <v>323</v>
      </c>
    </row>
    <row r="5" spans="1:17" x14ac:dyDescent="0.35">
      <c r="A5" t="s">
        <v>106</v>
      </c>
      <c r="B5" t="s">
        <v>340</v>
      </c>
      <c r="C5" t="s">
        <v>15</v>
      </c>
      <c r="D5">
        <v>37</v>
      </c>
      <c r="E5" t="str">
        <f>IF(Table1_1[[#This Row],[Age]]&lt;=18,"CHILD",IF(Table1_1[[#This Row],[Age]]&lt;59,"ADULT","SENIOR"))</f>
        <v>ADULT</v>
      </c>
      <c r="F5" t="str">
        <f>IF(AND(Table1_1[[#This Row],[Age]]&gt;=60,Table1_1[[#This Row],[Insurance Status]]="INSURED"),"SENIOR ELIGIBLE","NOT ELIGIBLE")</f>
        <v>NOT ELIGIBLE</v>
      </c>
      <c r="G5" t="s">
        <v>22</v>
      </c>
      <c r="H5" t="s">
        <v>325</v>
      </c>
      <c r="I5" t="s">
        <v>338</v>
      </c>
      <c r="J5" s="1">
        <v>46190</v>
      </c>
      <c r="K5" s="1">
        <v>46195</v>
      </c>
      <c r="L5" t="s">
        <v>332</v>
      </c>
      <c r="M5" t="s">
        <v>321</v>
      </c>
      <c r="N5">
        <v>48853</v>
      </c>
      <c r="O5" t="str">
        <f>IF(OR(Table1_1[[#This Row],[Treatment Cost]]&gt;=20000,Table1_1[[#Headers],[Room Type]]="ICU"),"HIGH COST","NORMAL COST")</f>
        <v>HIGH COST</v>
      </c>
      <c r="P5" t="s">
        <v>322</v>
      </c>
      <c r="Q5" t="s">
        <v>323</v>
      </c>
    </row>
    <row r="6" spans="1:17" x14ac:dyDescent="0.35">
      <c r="A6" t="s">
        <v>196</v>
      </c>
      <c r="B6" t="s">
        <v>318</v>
      </c>
      <c r="C6" t="s">
        <v>15</v>
      </c>
      <c r="D6">
        <v>51</v>
      </c>
      <c r="E6" t="str">
        <f>IF(Table1_1[[#This Row],[Age]]&lt;=18,"CHILD",IF(Table1_1[[#This Row],[Age]]&lt;59,"ADULT","SENIOR"))</f>
        <v>ADULT</v>
      </c>
      <c r="F6" t="str">
        <f>IF(AND(Table1_1[[#This Row],[Age]]&gt;=60,Table1_1[[#This Row],[Insurance Status]]="INSURED"),"SENIOR ELIGIBLE","NOT ELIGIBLE")</f>
        <v>NOT ELIGIBLE</v>
      </c>
      <c r="G6" t="s">
        <v>20</v>
      </c>
      <c r="H6" t="s">
        <v>325</v>
      </c>
      <c r="I6" t="s">
        <v>338</v>
      </c>
      <c r="J6" s="1">
        <v>46107</v>
      </c>
      <c r="K6" s="1">
        <v>46112</v>
      </c>
      <c r="L6" t="s">
        <v>339</v>
      </c>
      <c r="M6" t="s">
        <v>335</v>
      </c>
      <c r="N6">
        <v>48629</v>
      </c>
      <c r="O6" t="str">
        <f>IF(OR(Table1_1[[#This Row],[Treatment Cost]]&gt;=20000,Table1_1[[#Headers],[Room Type]]="ICU"),"HIGH COST","NORMAL COST")</f>
        <v>HIGH COST</v>
      </c>
      <c r="P6" t="s">
        <v>331</v>
      </c>
      <c r="Q6" t="s">
        <v>323</v>
      </c>
    </row>
    <row r="7" spans="1:17" x14ac:dyDescent="0.35">
      <c r="A7" t="s">
        <v>209</v>
      </c>
      <c r="B7" t="s">
        <v>334</v>
      </c>
      <c r="C7" t="s">
        <v>19</v>
      </c>
      <c r="D7">
        <v>22</v>
      </c>
      <c r="E7" t="str">
        <f>IF(Table1_1[[#This Row],[Age]]&lt;=18,"CHILD",IF(Table1_1[[#This Row],[Age]]&lt;59,"ADULT","SENIOR"))</f>
        <v>ADULT</v>
      </c>
      <c r="F7" t="str">
        <f>IF(AND(Table1_1[[#This Row],[Age]]&gt;=60,Table1_1[[#This Row],[Insurance Status]]="INSURED"),"SENIOR ELIGIBLE","NOT ELIGIBLE")</f>
        <v>NOT ELIGIBLE</v>
      </c>
      <c r="G7" t="s">
        <v>20</v>
      </c>
      <c r="H7" t="s">
        <v>325</v>
      </c>
      <c r="I7" t="s">
        <v>336</v>
      </c>
      <c r="J7" s="1">
        <v>46097</v>
      </c>
      <c r="K7" s="1">
        <v>46104</v>
      </c>
      <c r="L7" t="s">
        <v>17</v>
      </c>
      <c r="M7" t="s">
        <v>335</v>
      </c>
      <c r="N7">
        <v>48551</v>
      </c>
      <c r="O7" t="str">
        <f>IF(OR(Table1_1[[#This Row],[Treatment Cost]]&gt;=20000,Table1_1[[#Headers],[Room Type]]="ICU"),"HIGH COST","NORMAL COST")</f>
        <v>HIGH COST</v>
      </c>
      <c r="P7" t="s">
        <v>322</v>
      </c>
      <c r="Q7" t="s">
        <v>323</v>
      </c>
    </row>
    <row r="8" spans="1:17" x14ac:dyDescent="0.35">
      <c r="A8" t="s">
        <v>99</v>
      </c>
      <c r="B8" t="s">
        <v>324</v>
      </c>
      <c r="C8" t="s">
        <v>19</v>
      </c>
      <c r="D8">
        <v>66</v>
      </c>
      <c r="E8" t="str">
        <f>IF(Table1_1[[#This Row],[Age]]&lt;=18,"CHILD",IF(Table1_1[[#This Row],[Age]]&lt;59,"ADULT","SENIOR"))</f>
        <v>SENIOR</v>
      </c>
      <c r="F8" t="str">
        <f>IF(AND(Table1_1[[#This Row],[Age]]&gt;=60,Table1_1[[#This Row],[Insurance Status]]="INSURED"),"SENIOR ELIGIBLE","NOT ELIGIBLE")</f>
        <v>NOT ELIGIBLE</v>
      </c>
      <c r="G8" t="s">
        <v>22</v>
      </c>
      <c r="H8" t="s">
        <v>342</v>
      </c>
      <c r="I8" t="s">
        <v>336</v>
      </c>
      <c r="J8" s="1">
        <v>46132</v>
      </c>
      <c r="K8" s="1">
        <v>46136</v>
      </c>
      <c r="L8" t="s">
        <v>17</v>
      </c>
      <c r="M8" t="s">
        <v>328</v>
      </c>
      <c r="N8">
        <v>48509</v>
      </c>
      <c r="O8" t="str">
        <f>IF(OR(Table1_1[[#This Row],[Treatment Cost]]&gt;=20000,Table1_1[[#Headers],[Room Type]]="ICU"),"HIGH COST","NORMAL COST")</f>
        <v>HIGH COST</v>
      </c>
      <c r="P8" t="s">
        <v>322</v>
      </c>
      <c r="Q8" t="s">
        <v>333</v>
      </c>
    </row>
    <row r="9" spans="1:17" x14ac:dyDescent="0.35">
      <c r="A9" t="s">
        <v>134</v>
      </c>
      <c r="B9" t="s">
        <v>337</v>
      </c>
      <c r="C9" t="s">
        <v>15</v>
      </c>
      <c r="D9">
        <v>80</v>
      </c>
      <c r="E9" t="str">
        <f>IF(Table1_1[[#This Row],[Age]]&lt;=18,"CHILD",IF(Table1_1[[#This Row],[Age]]&lt;59,"ADULT","SENIOR"))</f>
        <v>SENIOR</v>
      </c>
      <c r="F9" t="str">
        <f>IF(AND(Table1_1[[#This Row],[Age]]&gt;=60,Table1_1[[#This Row],[Insurance Status]]="INSURED"),"SENIOR ELIGIBLE","NOT ELIGIBLE")</f>
        <v>NOT ELIGIBLE</v>
      </c>
      <c r="G9" t="s">
        <v>16</v>
      </c>
      <c r="H9" t="s">
        <v>342</v>
      </c>
      <c r="I9" t="s">
        <v>320</v>
      </c>
      <c r="J9" s="1">
        <v>46199</v>
      </c>
      <c r="K9" s="1">
        <v>46209</v>
      </c>
      <c r="L9" t="s">
        <v>332</v>
      </c>
      <c r="M9" t="s">
        <v>335</v>
      </c>
      <c r="N9">
        <v>48335</v>
      </c>
      <c r="O9" t="str">
        <f>IF(OR(Table1_1[[#This Row],[Treatment Cost]]&gt;=20000,Table1_1[[#Headers],[Room Type]]="ICU"),"HIGH COST","NORMAL COST")</f>
        <v>HIGH COST</v>
      </c>
      <c r="P9" t="s">
        <v>322</v>
      </c>
      <c r="Q9" t="s">
        <v>333</v>
      </c>
    </row>
    <row r="10" spans="1:17" x14ac:dyDescent="0.35">
      <c r="A10" t="s">
        <v>223</v>
      </c>
      <c r="B10" t="s">
        <v>324</v>
      </c>
      <c r="C10" t="s">
        <v>19</v>
      </c>
      <c r="D10">
        <v>42</v>
      </c>
      <c r="E10" t="str">
        <f>IF(Table1_1[[#This Row],[Age]]&lt;=18,"CHILD",IF(Table1_1[[#This Row],[Age]]&lt;59,"ADULT","SENIOR"))</f>
        <v>ADULT</v>
      </c>
      <c r="F10" t="str">
        <f>IF(AND(Table1_1[[#This Row],[Age]]&gt;=60,Table1_1[[#This Row],[Insurance Status]]="INSURED"),"SENIOR ELIGIBLE","NOT ELIGIBLE")</f>
        <v>NOT ELIGIBLE</v>
      </c>
      <c r="G10" t="s">
        <v>20</v>
      </c>
      <c r="H10" t="s">
        <v>319</v>
      </c>
      <c r="I10" t="s">
        <v>320</v>
      </c>
      <c r="J10" s="1">
        <v>46155</v>
      </c>
      <c r="K10" s="1">
        <v>46158</v>
      </c>
      <c r="L10" t="s">
        <v>332</v>
      </c>
      <c r="M10" t="s">
        <v>335</v>
      </c>
      <c r="N10">
        <v>48299</v>
      </c>
      <c r="O10" t="str">
        <f>IF(OR(Table1_1[[#This Row],[Treatment Cost]]&gt;=20000,Table1_1[[#Headers],[Room Type]]="ICU"),"HIGH COST","NORMAL COST")</f>
        <v>HIGH COST</v>
      </c>
      <c r="P10" t="s">
        <v>322</v>
      </c>
      <c r="Q10" t="s">
        <v>333</v>
      </c>
    </row>
    <row r="11" spans="1:17" x14ac:dyDescent="0.35">
      <c r="A11" t="s">
        <v>310</v>
      </c>
      <c r="B11" t="s">
        <v>340</v>
      </c>
      <c r="C11" t="s">
        <v>15</v>
      </c>
      <c r="D11">
        <v>54</v>
      </c>
      <c r="E11" t="str">
        <f>IF(Table1_1[[#This Row],[Age]]&lt;=18,"CHILD",IF(Table1_1[[#This Row],[Age]]&lt;59,"ADULT","SENIOR"))</f>
        <v>ADULT</v>
      </c>
      <c r="F11" t="str">
        <f>IF(AND(Table1_1[[#This Row],[Age]]&gt;=60,Table1_1[[#This Row],[Insurance Status]]="INSURED"),"SENIOR ELIGIBLE","NOT ELIGIBLE")</f>
        <v>NOT ELIGIBLE</v>
      </c>
      <c r="G11" t="s">
        <v>20</v>
      </c>
      <c r="H11" t="s">
        <v>325</v>
      </c>
      <c r="I11" t="s">
        <v>338</v>
      </c>
      <c r="J11" s="1">
        <v>46122</v>
      </c>
      <c r="K11" s="1">
        <v>46129</v>
      </c>
      <c r="L11" t="s">
        <v>339</v>
      </c>
      <c r="M11" t="s">
        <v>321</v>
      </c>
      <c r="N11">
        <v>48275</v>
      </c>
      <c r="O11" t="str">
        <f>IF(OR(Table1_1[[#This Row],[Treatment Cost]]&gt;=20000,Table1_1[[#Headers],[Room Type]]="ICU"),"HIGH COST","NORMAL COST")</f>
        <v>HIGH COST</v>
      </c>
      <c r="P11" t="s">
        <v>331</v>
      </c>
      <c r="Q11" t="s">
        <v>23</v>
      </c>
    </row>
    <row r="12" spans="1:17" x14ac:dyDescent="0.35">
      <c r="A12" t="s">
        <v>110</v>
      </c>
      <c r="B12" t="s">
        <v>324</v>
      </c>
      <c r="C12" t="s">
        <v>15</v>
      </c>
      <c r="D12">
        <v>18</v>
      </c>
      <c r="E12" t="str">
        <f>IF(Table1_1[[#This Row],[Age]]&lt;=18,"CHILD",IF(Table1_1[[#This Row],[Age]]&lt;59,"ADULT","SENIOR"))</f>
        <v>CHILD</v>
      </c>
      <c r="F12" t="str">
        <f>IF(AND(Table1_1[[#This Row],[Age]]&gt;=60,Table1_1[[#This Row],[Insurance Status]]="INSURED"),"SENIOR ELIGIBLE","NOT ELIGIBLE")</f>
        <v>NOT ELIGIBLE</v>
      </c>
      <c r="G12" t="s">
        <v>26</v>
      </c>
      <c r="H12" t="s">
        <v>329</v>
      </c>
      <c r="I12" t="s">
        <v>320</v>
      </c>
      <c r="J12" s="1">
        <v>46065</v>
      </c>
      <c r="K12" s="1">
        <v>46067</v>
      </c>
      <c r="L12" t="s">
        <v>332</v>
      </c>
      <c r="M12" t="s">
        <v>335</v>
      </c>
      <c r="N12">
        <v>48265</v>
      </c>
      <c r="O12" t="str">
        <f>IF(OR(Table1_1[[#This Row],[Treatment Cost]]&gt;=20000,Table1_1[[#Headers],[Room Type]]="ICU"),"HIGH COST","NORMAL COST")</f>
        <v>HIGH COST</v>
      </c>
      <c r="P12" t="s">
        <v>322</v>
      </c>
      <c r="Q12" t="s">
        <v>333</v>
      </c>
    </row>
    <row r="13" spans="1:17" x14ac:dyDescent="0.35">
      <c r="A13" t="s">
        <v>232</v>
      </c>
      <c r="B13" t="s">
        <v>324</v>
      </c>
      <c r="C13" t="s">
        <v>15</v>
      </c>
      <c r="D13">
        <v>67</v>
      </c>
      <c r="E13" t="str">
        <f>IF(Table1_1[[#This Row],[Age]]&lt;=18,"CHILD",IF(Table1_1[[#This Row],[Age]]&lt;59,"ADULT","SENIOR"))</f>
        <v>SENIOR</v>
      </c>
      <c r="F13" t="str">
        <f>IF(AND(Table1_1[[#This Row],[Age]]&gt;=60,Table1_1[[#This Row],[Insurance Status]]="INSURED"),"SENIOR ELIGIBLE","NOT ELIGIBLE")</f>
        <v>NOT ELIGIBLE</v>
      </c>
      <c r="G13" t="s">
        <v>26</v>
      </c>
      <c r="H13" t="s">
        <v>329</v>
      </c>
      <c r="I13" t="s">
        <v>336</v>
      </c>
      <c r="J13" s="1">
        <v>46090</v>
      </c>
      <c r="K13" s="1">
        <v>46099</v>
      </c>
      <c r="L13" t="s">
        <v>17</v>
      </c>
      <c r="M13" t="s">
        <v>321</v>
      </c>
      <c r="N13">
        <v>48265</v>
      </c>
      <c r="O13" t="str">
        <f>IF(OR(Table1_1[[#This Row],[Treatment Cost]]&gt;=20000,Table1_1[[#Headers],[Room Type]]="ICU"),"HIGH COST","NORMAL COST")</f>
        <v>HIGH COST</v>
      </c>
      <c r="P13" t="s">
        <v>322</v>
      </c>
      <c r="Q13" t="s">
        <v>333</v>
      </c>
    </row>
    <row r="14" spans="1:17" x14ac:dyDescent="0.35">
      <c r="A14" t="s">
        <v>172</v>
      </c>
      <c r="B14" t="s">
        <v>341</v>
      </c>
      <c r="C14" t="s">
        <v>15</v>
      </c>
      <c r="D14">
        <v>68</v>
      </c>
      <c r="E14" t="str">
        <f>IF(Table1_1[[#This Row],[Age]]&lt;=18,"CHILD",IF(Table1_1[[#This Row],[Age]]&lt;59,"ADULT","SENIOR"))</f>
        <v>SENIOR</v>
      </c>
      <c r="F14" t="str">
        <f>IF(AND(Table1_1[[#This Row],[Age]]&gt;=60,Table1_1[[#This Row],[Insurance Status]]="INSURED"),"SENIOR ELIGIBLE","NOT ELIGIBLE")</f>
        <v>NOT ELIGIBLE</v>
      </c>
      <c r="G14" t="s">
        <v>16</v>
      </c>
      <c r="H14" t="s">
        <v>342</v>
      </c>
      <c r="I14" t="s">
        <v>336</v>
      </c>
      <c r="J14" s="1">
        <v>46137</v>
      </c>
      <c r="K14" s="1">
        <v>46143</v>
      </c>
      <c r="L14" t="s">
        <v>332</v>
      </c>
      <c r="M14" t="s">
        <v>328</v>
      </c>
      <c r="N14">
        <v>47997</v>
      </c>
      <c r="O14" t="str">
        <f>IF(OR(Table1_1[[#This Row],[Treatment Cost]]&gt;=20000,Table1_1[[#Headers],[Room Type]]="ICU"),"HIGH COST","NORMAL COST")</f>
        <v>HIGH COST</v>
      </c>
      <c r="P14" t="s">
        <v>322</v>
      </c>
      <c r="Q14" t="s">
        <v>23</v>
      </c>
    </row>
    <row r="15" spans="1:17" x14ac:dyDescent="0.35">
      <c r="A15" t="s">
        <v>291</v>
      </c>
      <c r="B15" t="s">
        <v>334</v>
      </c>
      <c r="C15" t="s">
        <v>19</v>
      </c>
      <c r="D15">
        <v>21</v>
      </c>
      <c r="E15" t="str">
        <f>IF(Table1_1[[#This Row],[Age]]&lt;=18,"CHILD",IF(Table1_1[[#This Row],[Age]]&lt;59,"ADULT","SENIOR"))</f>
        <v>ADULT</v>
      </c>
      <c r="F15" t="str">
        <f>IF(AND(Table1_1[[#This Row],[Age]]&gt;=60,Table1_1[[#This Row],[Insurance Status]]="INSURED"),"SENIOR ELIGIBLE","NOT ELIGIBLE")</f>
        <v>NOT ELIGIBLE</v>
      </c>
      <c r="G15" t="s">
        <v>26</v>
      </c>
      <c r="H15" t="s">
        <v>342</v>
      </c>
      <c r="I15" t="s">
        <v>326</v>
      </c>
      <c r="J15" s="1">
        <v>46153</v>
      </c>
      <c r="K15" s="1">
        <v>46162</v>
      </c>
      <c r="L15" t="s">
        <v>17</v>
      </c>
      <c r="M15" t="s">
        <v>321</v>
      </c>
      <c r="N15">
        <v>47869</v>
      </c>
      <c r="O15" t="str">
        <f>IF(OR(Table1_1[[#This Row],[Treatment Cost]]&gt;=20000,Table1_1[[#Headers],[Room Type]]="ICU"),"HIGH COST","NORMAL COST")</f>
        <v>HIGH COST</v>
      </c>
      <c r="P15" t="s">
        <v>322</v>
      </c>
      <c r="Q15" t="s">
        <v>333</v>
      </c>
    </row>
    <row r="16" spans="1:17" x14ac:dyDescent="0.35">
      <c r="A16" t="s">
        <v>83</v>
      </c>
      <c r="B16" t="s">
        <v>318</v>
      </c>
      <c r="C16" t="s">
        <v>15</v>
      </c>
      <c r="D16">
        <v>27</v>
      </c>
      <c r="E16" t="str">
        <f>IF(Table1_1[[#This Row],[Age]]&lt;=18,"CHILD",IF(Table1_1[[#This Row],[Age]]&lt;59,"ADULT","SENIOR"))</f>
        <v>ADULT</v>
      </c>
      <c r="F16" t="str">
        <f>IF(AND(Table1_1[[#This Row],[Age]]&gt;=60,Table1_1[[#This Row],[Insurance Status]]="INSURED"),"SENIOR ELIGIBLE","NOT ELIGIBLE")</f>
        <v>NOT ELIGIBLE</v>
      </c>
      <c r="G16" t="s">
        <v>20</v>
      </c>
      <c r="H16" t="s">
        <v>342</v>
      </c>
      <c r="I16" t="s">
        <v>336</v>
      </c>
      <c r="J16" s="1">
        <v>46094</v>
      </c>
      <c r="K16" s="1">
        <v>46096</v>
      </c>
      <c r="L16" t="s">
        <v>339</v>
      </c>
      <c r="M16" t="s">
        <v>330</v>
      </c>
      <c r="N16">
        <v>47815</v>
      </c>
      <c r="O16" t="str">
        <f>IF(OR(Table1_1[[#This Row],[Treatment Cost]]&gt;=20000,Table1_1[[#Headers],[Room Type]]="ICU"),"HIGH COST","NORMAL COST")</f>
        <v>HIGH COST</v>
      </c>
      <c r="P16" t="s">
        <v>331</v>
      </c>
      <c r="Q16" t="s">
        <v>323</v>
      </c>
    </row>
    <row r="17" spans="1:17" x14ac:dyDescent="0.35">
      <c r="A17" t="s">
        <v>82</v>
      </c>
      <c r="B17" t="s">
        <v>318</v>
      </c>
      <c r="C17" t="s">
        <v>15</v>
      </c>
      <c r="D17">
        <v>40</v>
      </c>
      <c r="E17" t="str">
        <f>IF(Table1_1[[#This Row],[Age]]&lt;=18,"CHILD",IF(Table1_1[[#This Row],[Age]]&lt;59,"ADULT","SENIOR"))</f>
        <v>ADULT</v>
      </c>
      <c r="F17" t="str">
        <f>IF(AND(Table1_1[[#This Row],[Age]]&gt;=60,Table1_1[[#This Row],[Insurance Status]]="INSURED"),"SENIOR ELIGIBLE","NOT ELIGIBLE")</f>
        <v>NOT ELIGIBLE</v>
      </c>
      <c r="G17" t="s">
        <v>20</v>
      </c>
      <c r="H17" t="s">
        <v>319</v>
      </c>
      <c r="I17" t="s">
        <v>320</v>
      </c>
      <c r="J17" s="1">
        <v>46168</v>
      </c>
      <c r="K17" s="1">
        <v>46172</v>
      </c>
      <c r="L17" t="s">
        <v>339</v>
      </c>
      <c r="M17" t="s">
        <v>328</v>
      </c>
      <c r="N17">
        <v>47511</v>
      </c>
      <c r="O17" t="str">
        <f>IF(OR(Table1_1[[#This Row],[Treatment Cost]]&gt;=20000,Table1_1[[#Headers],[Room Type]]="ICU"),"HIGH COST","NORMAL COST")</f>
        <v>HIGH COST</v>
      </c>
      <c r="P17" t="s">
        <v>322</v>
      </c>
      <c r="Q17" t="s">
        <v>23</v>
      </c>
    </row>
    <row r="18" spans="1:17" x14ac:dyDescent="0.35">
      <c r="A18" t="s">
        <v>143</v>
      </c>
      <c r="B18" t="s">
        <v>334</v>
      </c>
      <c r="C18" t="s">
        <v>19</v>
      </c>
      <c r="D18">
        <v>67</v>
      </c>
      <c r="E18" t="str">
        <f>IF(Table1_1[[#This Row],[Age]]&lt;=18,"CHILD",IF(Table1_1[[#This Row],[Age]]&lt;59,"ADULT","SENIOR"))</f>
        <v>SENIOR</v>
      </c>
      <c r="F18" t="str">
        <f>IF(AND(Table1_1[[#This Row],[Age]]&gt;=60,Table1_1[[#This Row],[Insurance Status]]="INSURED"),"SENIOR ELIGIBLE","NOT ELIGIBLE")</f>
        <v>SENIOR ELIGIBLE</v>
      </c>
      <c r="G18" t="s">
        <v>26</v>
      </c>
      <c r="H18" t="s">
        <v>329</v>
      </c>
      <c r="I18" t="s">
        <v>326</v>
      </c>
      <c r="J18" s="1">
        <v>46134</v>
      </c>
      <c r="K18" s="1">
        <v>46143</v>
      </c>
      <c r="L18" t="s">
        <v>332</v>
      </c>
      <c r="M18" t="s">
        <v>330</v>
      </c>
      <c r="N18">
        <v>47260</v>
      </c>
      <c r="O18" t="str">
        <f>IF(OR(Table1_1[[#This Row],[Treatment Cost]]&gt;=20000,Table1_1[[#Headers],[Room Type]]="ICU"),"HIGH COST","NORMAL COST")</f>
        <v>HIGH COST</v>
      </c>
      <c r="P18" t="s">
        <v>331</v>
      </c>
      <c r="Q18" t="s">
        <v>23</v>
      </c>
    </row>
    <row r="19" spans="1:17" x14ac:dyDescent="0.35">
      <c r="A19" t="s">
        <v>315</v>
      </c>
      <c r="B19" t="s">
        <v>340</v>
      </c>
      <c r="C19" t="s">
        <v>15</v>
      </c>
      <c r="D19">
        <v>52</v>
      </c>
      <c r="E19" t="str">
        <f>IF(Table1_1[[#This Row],[Age]]&lt;=18,"CHILD",IF(Table1_1[[#This Row],[Age]]&lt;59,"ADULT","SENIOR"))</f>
        <v>ADULT</v>
      </c>
      <c r="F19" t="str">
        <f>IF(AND(Table1_1[[#This Row],[Age]]&gt;=60,Table1_1[[#This Row],[Insurance Status]]="INSURED"),"SENIOR ELIGIBLE","NOT ELIGIBLE")</f>
        <v>NOT ELIGIBLE</v>
      </c>
      <c r="G19" t="s">
        <v>16</v>
      </c>
      <c r="H19" t="s">
        <v>329</v>
      </c>
      <c r="I19" t="s">
        <v>320</v>
      </c>
      <c r="J19" s="1">
        <v>46174</v>
      </c>
      <c r="K19" s="1">
        <v>46184</v>
      </c>
      <c r="L19" t="s">
        <v>339</v>
      </c>
      <c r="M19" t="s">
        <v>330</v>
      </c>
      <c r="N19">
        <v>47213</v>
      </c>
      <c r="O19" t="str">
        <f>IF(OR(Table1_1[[#This Row],[Treatment Cost]]&gt;=20000,Table1_1[[#Headers],[Room Type]]="ICU"),"HIGH COST","NORMAL COST")</f>
        <v>HIGH COST</v>
      </c>
      <c r="P19" t="s">
        <v>331</v>
      </c>
      <c r="Q19" t="s">
        <v>23</v>
      </c>
    </row>
    <row r="20" spans="1:17" x14ac:dyDescent="0.35">
      <c r="A20" t="s">
        <v>227</v>
      </c>
      <c r="B20" t="s">
        <v>318</v>
      </c>
      <c r="C20" t="s">
        <v>19</v>
      </c>
      <c r="D20">
        <v>50</v>
      </c>
      <c r="E20" t="str">
        <f>IF(Table1_1[[#This Row],[Age]]&lt;=18,"CHILD",IF(Table1_1[[#This Row],[Age]]&lt;59,"ADULT","SENIOR"))</f>
        <v>ADULT</v>
      </c>
      <c r="F20" t="str">
        <f>IF(AND(Table1_1[[#This Row],[Age]]&gt;=60,Table1_1[[#This Row],[Insurance Status]]="INSURED"),"SENIOR ELIGIBLE","NOT ELIGIBLE")</f>
        <v>NOT ELIGIBLE</v>
      </c>
      <c r="G20" t="s">
        <v>20</v>
      </c>
      <c r="H20" t="s">
        <v>329</v>
      </c>
      <c r="I20" t="s">
        <v>338</v>
      </c>
      <c r="J20" s="1">
        <v>46100</v>
      </c>
      <c r="K20" s="1">
        <v>46103</v>
      </c>
      <c r="L20" t="s">
        <v>332</v>
      </c>
      <c r="M20" t="s">
        <v>335</v>
      </c>
      <c r="N20">
        <v>47183</v>
      </c>
      <c r="O20" t="str">
        <f>IF(OR(Table1_1[[#This Row],[Treatment Cost]]&gt;=20000,Table1_1[[#Headers],[Room Type]]="ICU"),"HIGH COST","NORMAL COST")</f>
        <v>HIGH COST</v>
      </c>
      <c r="P20" t="s">
        <v>331</v>
      </c>
      <c r="Q20" t="s">
        <v>323</v>
      </c>
    </row>
    <row r="21" spans="1:17" x14ac:dyDescent="0.35">
      <c r="A21" t="s">
        <v>151</v>
      </c>
      <c r="B21" t="s">
        <v>324</v>
      </c>
      <c r="C21" t="s">
        <v>19</v>
      </c>
      <c r="D21">
        <v>77</v>
      </c>
      <c r="E21" t="str">
        <f>IF(Table1_1[[#This Row],[Age]]&lt;=18,"CHILD",IF(Table1_1[[#This Row],[Age]]&lt;59,"ADULT","SENIOR"))</f>
        <v>SENIOR</v>
      </c>
      <c r="F21" t="str">
        <f>IF(AND(Table1_1[[#This Row],[Age]]&gt;=60,Table1_1[[#This Row],[Insurance Status]]="INSURED"),"SENIOR ELIGIBLE","NOT ELIGIBLE")</f>
        <v>SENIOR ELIGIBLE</v>
      </c>
      <c r="G21" t="s">
        <v>16</v>
      </c>
      <c r="H21" t="s">
        <v>329</v>
      </c>
      <c r="I21" t="s">
        <v>320</v>
      </c>
      <c r="J21" s="1">
        <v>46037</v>
      </c>
      <c r="K21" s="1">
        <v>46043</v>
      </c>
      <c r="L21" t="s">
        <v>332</v>
      </c>
      <c r="M21" t="s">
        <v>321</v>
      </c>
      <c r="N21">
        <v>47110</v>
      </c>
      <c r="O21" t="str">
        <f>IF(OR(Table1_1[[#This Row],[Treatment Cost]]&gt;=20000,Table1_1[[#Headers],[Room Type]]="ICU"),"HIGH COST","NORMAL COST")</f>
        <v>HIGH COST</v>
      </c>
      <c r="P21" t="s">
        <v>331</v>
      </c>
      <c r="Q21" t="s">
        <v>333</v>
      </c>
    </row>
    <row r="22" spans="1:17" x14ac:dyDescent="0.35">
      <c r="A22" t="s">
        <v>181</v>
      </c>
      <c r="B22" t="s">
        <v>340</v>
      </c>
      <c r="C22" t="s">
        <v>19</v>
      </c>
      <c r="D22">
        <v>43</v>
      </c>
      <c r="E22" t="str">
        <f>IF(Table1_1[[#This Row],[Age]]&lt;=18,"CHILD",IF(Table1_1[[#This Row],[Age]]&lt;59,"ADULT","SENIOR"))</f>
        <v>ADULT</v>
      </c>
      <c r="F22" t="str">
        <f>IF(AND(Table1_1[[#This Row],[Age]]&gt;=60,Table1_1[[#This Row],[Insurance Status]]="INSURED"),"SENIOR ELIGIBLE","NOT ELIGIBLE")</f>
        <v>NOT ELIGIBLE</v>
      </c>
      <c r="G22" t="s">
        <v>22</v>
      </c>
      <c r="H22" t="s">
        <v>342</v>
      </c>
      <c r="I22" t="s">
        <v>326</v>
      </c>
      <c r="J22" s="1">
        <v>46180</v>
      </c>
      <c r="K22" s="1">
        <v>46188</v>
      </c>
      <c r="L22" t="s">
        <v>332</v>
      </c>
      <c r="M22" t="s">
        <v>321</v>
      </c>
      <c r="N22">
        <v>47040</v>
      </c>
      <c r="O22" t="str">
        <f>IF(OR(Table1_1[[#This Row],[Treatment Cost]]&gt;=20000,Table1_1[[#Headers],[Room Type]]="ICU"),"HIGH COST","NORMAL COST")</f>
        <v>HIGH COST</v>
      </c>
      <c r="P22" t="s">
        <v>322</v>
      </c>
      <c r="Q22" t="s">
        <v>23</v>
      </c>
    </row>
    <row r="23" spans="1:17" x14ac:dyDescent="0.35">
      <c r="A23" t="s">
        <v>32</v>
      </c>
      <c r="B23" t="s">
        <v>341</v>
      </c>
      <c r="C23" t="s">
        <v>15</v>
      </c>
      <c r="D23">
        <v>18</v>
      </c>
      <c r="E23" t="str">
        <f>IF(Table1_1[[#This Row],[Age]]&lt;=18,"CHILD",IF(Table1_1[[#This Row],[Age]]&lt;59,"ADULT","SENIOR"))</f>
        <v>CHILD</v>
      </c>
      <c r="F23" t="str">
        <f>IF(AND(Table1_1[[#This Row],[Age]]&gt;=60,Table1_1[[#This Row],[Insurance Status]]="INSURED"),"SENIOR ELIGIBLE","NOT ELIGIBLE")</f>
        <v>NOT ELIGIBLE</v>
      </c>
      <c r="G23" t="s">
        <v>22</v>
      </c>
      <c r="H23" t="s">
        <v>325</v>
      </c>
      <c r="I23" t="s">
        <v>326</v>
      </c>
      <c r="J23" s="1">
        <v>46117</v>
      </c>
      <c r="K23" s="1">
        <v>46125</v>
      </c>
      <c r="L23" t="s">
        <v>327</v>
      </c>
      <c r="M23" t="s">
        <v>335</v>
      </c>
      <c r="N23">
        <v>46863</v>
      </c>
      <c r="O23" t="str">
        <f>IF(OR(Table1_1[[#This Row],[Treatment Cost]]&gt;=20000,Table1_1[[#Headers],[Room Type]]="ICU"),"HIGH COST","NORMAL COST")</f>
        <v>HIGH COST</v>
      </c>
      <c r="P23" t="s">
        <v>331</v>
      </c>
      <c r="Q23" t="s">
        <v>323</v>
      </c>
    </row>
    <row r="24" spans="1:17" x14ac:dyDescent="0.35">
      <c r="A24" t="s">
        <v>125</v>
      </c>
      <c r="B24" t="s">
        <v>340</v>
      </c>
      <c r="C24" t="s">
        <v>15</v>
      </c>
      <c r="D24">
        <v>67</v>
      </c>
      <c r="E24" t="str">
        <f>IF(Table1_1[[#This Row],[Age]]&lt;=18,"CHILD",IF(Table1_1[[#This Row],[Age]]&lt;59,"ADULT","SENIOR"))</f>
        <v>SENIOR</v>
      </c>
      <c r="F24" t="str">
        <f>IF(AND(Table1_1[[#This Row],[Age]]&gt;=60,Table1_1[[#This Row],[Insurance Status]]="INSURED"),"SENIOR ELIGIBLE","NOT ELIGIBLE")</f>
        <v>NOT ELIGIBLE</v>
      </c>
      <c r="G24" t="s">
        <v>16</v>
      </c>
      <c r="H24" t="s">
        <v>329</v>
      </c>
      <c r="I24" t="s">
        <v>338</v>
      </c>
      <c r="J24" s="1">
        <v>46151</v>
      </c>
      <c r="K24" s="1">
        <v>46155</v>
      </c>
      <c r="L24" t="s">
        <v>339</v>
      </c>
      <c r="M24" t="s">
        <v>321</v>
      </c>
      <c r="N24">
        <v>46819</v>
      </c>
      <c r="O24" t="str">
        <f>IF(OR(Table1_1[[#This Row],[Treatment Cost]]&gt;=20000,Table1_1[[#Headers],[Room Type]]="ICU"),"HIGH COST","NORMAL COST")</f>
        <v>HIGH COST</v>
      </c>
      <c r="P24" t="s">
        <v>322</v>
      </c>
      <c r="Q24" t="s">
        <v>333</v>
      </c>
    </row>
    <row r="25" spans="1:17" x14ac:dyDescent="0.35">
      <c r="A25" t="s">
        <v>266</v>
      </c>
      <c r="B25" t="s">
        <v>318</v>
      </c>
      <c r="C25" t="s">
        <v>15</v>
      </c>
      <c r="D25">
        <v>79</v>
      </c>
      <c r="E25" t="str">
        <f>IF(Table1_1[[#This Row],[Age]]&lt;=18,"CHILD",IF(Table1_1[[#This Row],[Age]]&lt;59,"ADULT","SENIOR"))</f>
        <v>SENIOR</v>
      </c>
      <c r="F25" t="str">
        <f>IF(AND(Table1_1[[#This Row],[Age]]&gt;=60,Table1_1[[#This Row],[Insurance Status]]="INSURED"),"SENIOR ELIGIBLE","NOT ELIGIBLE")</f>
        <v>SENIOR ELIGIBLE</v>
      </c>
      <c r="G25" t="s">
        <v>20</v>
      </c>
      <c r="H25" t="s">
        <v>342</v>
      </c>
      <c r="I25" t="s">
        <v>326</v>
      </c>
      <c r="J25" s="1">
        <v>46119</v>
      </c>
      <c r="K25" s="1">
        <v>46128</v>
      </c>
      <c r="L25" t="s">
        <v>339</v>
      </c>
      <c r="M25" t="s">
        <v>335</v>
      </c>
      <c r="N25">
        <v>46215</v>
      </c>
      <c r="O25" t="str">
        <f>IF(OR(Table1_1[[#This Row],[Treatment Cost]]&gt;=20000,Table1_1[[#Headers],[Room Type]]="ICU"),"HIGH COST","NORMAL COST")</f>
        <v>HIGH COST</v>
      </c>
      <c r="P25" t="s">
        <v>331</v>
      </c>
      <c r="Q25" t="s">
        <v>333</v>
      </c>
    </row>
    <row r="26" spans="1:17" x14ac:dyDescent="0.35">
      <c r="A26" t="s">
        <v>161</v>
      </c>
      <c r="B26" t="s">
        <v>318</v>
      </c>
      <c r="C26" t="s">
        <v>19</v>
      </c>
      <c r="D26">
        <v>50</v>
      </c>
      <c r="E26" t="str">
        <f>IF(Table1_1[[#This Row],[Age]]&lt;=18,"CHILD",IF(Table1_1[[#This Row],[Age]]&lt;59,"ADULT","SENIOR"))</f>
        <v>ADULT</v>
      </c>
      <c r="F26" t="str">
        <f>IF(AND(Table1_1[[#This Row],[Age]]&gt;=60,Table1_1[[#This Row],[Insurance Status]]="INSURED"),"SENIOR ELIGIBLE","NOT ELIGIBLE")</f>
        <v>NOT ELIGIBLE</v>
      </c>
      <c r="G26" t="s">
        <v>16</v>
      </c>
      <c r="H26" t="s">
        <v>325</v>
      </c>
      <c r="I26" t="s">
        <v>326</v>
      </c>
      <c r="J26" s="1">
        <v>46170</v>
      </c>
      <c r="K26" s="1">
        <v>46178</v>
      </c>
      <c r="L26" t="s">
        <v>339</v>
      </c>
      <c r="M26" t="s">
        <v>328</v>
      </c>
      <c r="N26">
        <v>46136</v>
      </c>
      <c r="O26" t="str">
        <f>IF(OR(Table1_1[[#This Row],[Treatment Cost]]&gt;=20000,Table1_1[[#Headers],[Room Type]]="ICU"),"HIGH COST","NORMAL COST")</f>
        <v>HIGH COST</v>
      </c>
      <c r="P26" t="s">
        <v>322</v>
      </c>
      <c r="Q26" t="s">
        <v>23</v>
      </c>
    </row>
    <row r="27" spans="1:17" x14ac:dyDescent="0.35">
      <c r="A27" t="s">
        <v>222</v>
      </c>
      <c r="B27" t="s">
        <v>334</v>
      </c>
      <c r="C27" t="s">
        <v>19</v>
      </c>
      <c r="D27">
        <v>23</v>
      </c>
      <c r="E27" t="str">
        <f>IF(Table1_1[[#This Row],[Age]]&lt;=18,"CHILD",IF(Table1_1[[#This Row],[Age]]&lt;59,"ADULT","SENIOR"))</f>
        <v>ADULT</v>
      </c>
      <c r="F27" t="str">
        <f>IF(AND(Table1_1[[#This Row],[Age]]&gt;=60,Table1_1[[#This Row],[Insurance Status]]="INSURED"),"SENIOR ELIGIBLE","NOT ELIGIBLE")</f>
        <v>NOT ELIGIBLE</v>
      </c>
      <c r="G27" t="s">
        <v>20</v>
      </c>
      <c r="H27" t="s">
        <v>319</v>
      </c>
      <c r="I27" t="s">
        <v>336</v>
      </c>
      <c r="J27" s="1">
        <v>46100</v>
      </c>
      <c r="K27" s="1">
        <v>46105</v>
      </c>
      <c r="L27" t="s">
        <v>332</v>
      </c>
      <c r="M27" t="s">
        <v>330</v>
      </c>
      <c r="N27">
        <v>45967</v>
      </c>
      <c r="O27" t="str">
        <f>IF(OR(Table1_1[[#This Row],[Treatment Cost]]&gt;=20000,Table1_1[[#Headers],[Room Type]]="ICU"),"HIGH COST","NORMAL COST")</f>
        <v>HIGH COST</v>
      </c>
      <c r="P27" t="s">
        <v>322</v>
      </c>
      <c r="Q27" t="s">
        <v>23</v>
      </c>
    </row>
    <row r="28" spans="1:17" x14ac:dyDescent="0.35">
      <c r="A28" t="s">
        <v>204</v>
      </c>
      <c r="B28" t="s">
        <v>318</v>
      </c>
      <c r="C28" t="s">
        <v>15</v>
      </c>
      <c r="D28">
        <v>44</v>
      </c>
      <c r="E28" t="str">
        <f>IF(Table1_1[[#This Row],[Age]]&lt;=18,"CHILD",IF(Table1_1[[#This Row],[Age]]&lt;59,"ADULT","SENIOR"))</f>
        <v>ADULT</v>
      </c>
      <c r="F28" t="str">
        <f>IF(AND(Table1_1[[#This Row],[Age]]&gt;=60,Table1_1[[#This Row],[Insurance Status]]="INSURED"),"SENIOR ELIGIBLE","NOT ELIGIBLE")</f>
        <v>NOT ELIGIBLE</v>
      </c>
      <c r="G28" t="s">
        <v>16</v>
      </c>
      <c r="H28" t="s">
        <v>319</v>
      </c>
      <c r="I28" t="s">
        <v>336</v>
      </c>
      <c r="J28" s="1">
        <v>46141</v>
      </c>
      <c r="K28" s="1">
        <v>46151</v>
      </c>
      <c r="L28" t="s">
        <v>327</v>
      </c>
      <c r="M28" t="s">
        <v>335</v>
      </c>
      <c r="N28">
        <v>45965</v>
      </c>
      <c r="O28" t="str">
        <f>IF(OR(Table1_1[[#This Row],[Treatment Cost]]&gt;=20000,Table1_1[[#Headers],[Room Type]]="ICU"),"HIGH COST","NORMAL COST")</f>
        <v>HIGH COST</v>
      </c>
      <c r="P28" t="s">
        <v>331</v>
      </c>
      <c r="Q28" t="s">
        <v>333</v>
      </c>
    </row>
    <row r="29" spans="1:17" x14ac:dyDescent="0.35">
      <c r="A29" t="s">
        <v>275</v>
      </c>
      <c r="B29" t="s">
        <v>334</v>
      </c>
      <c r="C29" t="s">
        <v>19</v>
      </c>
      <c r="D29">
        <v>67</v>
      </c>
      <c r="E29" t="str">
        <f>IF(Table1_1[[#This Row],[Age]]&lt;=18,"CHILD",IF(Table1_1[[#This Row],[Age]]&lt;59,"ADULT","SENIOR"))</f>
        <v>SENIOR</v>
      </c>
      <c r="F29" t="str">
        <f>IF(AND(Table1_1[[#This Row],[Age]]&gt;=60,Table1_1[[#This Row],[Insurance Status]]="INSURED"),"SENIOR ELIGIBLE","NOT ELIGIBLE")</f>
        <v>NOT ELIGIBLE</v>
      </c>
      <c r="G29" t="s">
        <v>16</v>
      </c>
      <c r="H29" t="s">
        <v>329</v>
      </c>
      <c r="I29" t="s">
        <v>338</v>
      </c>
      <c r="J29" s="1">
        <v>46079</v>
      </c>
      <c r="K29" s="1">
        <v>46085</v>
      </c>
      <c r="L29" t="s">
        <v>339</v>
      </c>
      <c r="M29" t="s">
        <v>335</v>
      </c>
      <c r="N29">
        <v>45897</v>
      </c>
      <c r="O29" t="str">
        <f>IF(OR(Table1_1[[#This Row],[Treatment Cost]]&gt;=20000,Table1_1[[#Headers],[Room Type]]="ICU"),"HIGH COST","NORMAL COST")</f>
        <v>HIGH COST</v>
      </c>
      <c r="P29" t="s">
        <v>322</v>
      </c>
      <c r="Q29" t="s">
        <v>333</v>
      </c>
    </row>
    <row r="30" spans="1:17" x14ac:dyDescent="0.35">
      <c r="A30" t="s">
        <v>206</v>
      </c>
      <c r="B30" t="s">
        <v>318</v>
      </c>
      <c r="C30" t="s">
        <v>19</v>
      </c>
      <c r="D30">
        <v>42</v>
      </c>
      <c r="E30" t="str">
        <f>IF(Table1_1[[#This Row],[Age]]&lt;=18,"CHILD",IF(Table1_1[[#This Row],[Age]]&lt;59,"ADULT","SENIOR"))</f>
        <v>ADULT</v>
      </c>
      <c r="F30" t="str">
        <f>IF(AND(Table1_1[[#This Row],[Age]]&gt;=60,Table1_1[[#This Row],[Insurance Status]]="INSURED"),"SENIOR ELIGIBLE","NOT ELIGIBLE")</f>
        <v>NOT ELIGIBLE</v>
      </c>
      <c r="G30" t="s">
        <v>16</v>
      </c>
      <c r="H30" t="s">
        <v>325</v>
      </c>
      <c r="I30" t="s">
        <v>338</v>
      </c>
      <c r="J30" s="1">
        <v>46086</v>
      </c>
      <c r="K30" s="1">
        <v>46087</v>
      </c>
      <c r="L30" t="s">
        <v>332</v>
      </c>
      <c r="M30" t="s">
        <v>321</v>
      </c>
      <c r="N30">
        <v>45538</v>
      </c>
      <c r="O30" t="str">
        <f>IF(OR(Table1_1[[#This Row],[Treatment Cost]]&gt;=20000,Table1_1[[#Headers],[Room Type]]="ICU"),"HIGH COST","NORMAL COST")</f>
        <v>HIGH COST</v>
      </c>
      <c r="P30" t="s">
        <v>331</v>
      </c>
      <c r="Q30" t="s">
        <v>323</v>
      </c>
    </row>
    <row r="31" spans="1:17" x14ac:dyDescent="0.35">
      <c r="A31" t="s">
        <v>236</v>
      </c>
      <c r="B31" t="s">
        <v>341</v>
      </c>
      <c r="C31" t="s">
        <v>19</v>
      </c>
      <c r="D31">
        <v>26</v>
      </c>
      <c r="E31" t="str">
        <f>IF(Table1_1[[#This Row],[Age]]&lt;=18,"CHILD",IF(Table1_1[[#This Row],[Age]]&lt;59,"ADULT","SENIOR"))</f>
        <v>ADULT</v>
      </c>
      <c r="F31" t="str">
        <f>IF(AND(Table1_1[[#This Row],[Age]]&gt;=60,Table1_1[[#This Row],[Insurance Status]]="INSURED"),"SENIOR ELIGIBLE","NOT ELIGIBLE")</f>
        <v>NOT ELIGIBLE</v>
      </c>
      <c r="G31" t="s">
        <v>26</v>
      </c>
      <c r="H31" t="s">
        <v>329</v>
      </c>
      <c r="I31" t="s">
        <v>336</v>
      </c>
      <c r="J31" s="1">
        <v>46038</v>
      </c>
      <c r="K31" s="1">
        <v>46048</v>
      </c>
      <c r="L31" t="s">
        <v>332</v>
      </c>
      <c r="M31" t="s">
        <v>328</v>
      </c>
      <c r="N31">
        <v>45534</v>
      </c>
      <c r="O31" t="str">
        <f>IF(OR(Table1_1[[#This Row],[Treatment Cost]]&gt;=20000,Table1_1[[#Headers],[Room Type]]="ICU"),"HIGH COST","NORMAL COST")</f>
        <v>HIGH COST</v>
      </c>
      <c r="P31" t="s">
        <v>331</v>
      </c>
      <c r="Q31" t="s">
        <v>323</v>
      </c>
    </row>
    <row r="32" spans="1:17" x14ac:dyDescent="0.35">
      <c r="A32" t="s">
        <v>62</v>
      </c>
      <c r="B32" t="s">
        <v>318</v>
      </c>
      <c r="C32" t="s">
        <v>19</v>
      </c>
      <c r="D32">
        <v>62</v>
      </c>
      <c r="E32" t="str">
        <f>IF(Table1_1[[#This Row],[Age]]&lt;=18,"CHILD",IF(Table1_1[[#This Row],[Age]]&lt;59,"ADULT","SENIOR"))</f>
        <v>SENIOR</v>
      </c>
      <c r="F32" t="str">
        <f>IF(AND(Table1_1[[#This Row],[Age]]&gt;=60,Table1_1[[#This Row],[Insurance Status]]="INSURED"),"SENIOR ELIGIBLE","NOT ELIGIBLE")</f>
        <v>NOT ELIGIBLE</v>
      </c>
      <c r="G32" t="s">
        <v>16</v>
      </c>
      <c r="H32" t="s">
        <v>319</v>
      </c>
      <c r="I32" t="s">
        <v>326</v>
      </c>
      <c r="J32" s="1">
        <v>46154</v>
      </c>
      <c r="K32" s="1">
        <v>46164</v>
      </c>
      <c r="L32" t="s">
        <v>17</v>
      </c>
      <c r="M32" t="s">
        <v>335</v>
      </c>
      <c r="N32">
        <v>45288</v>
      </c>
      <c r="O32" t="str">
        <f>IF(OR(Table1_1[[#This Row],[Treatment Cost]]&gt;=20000,Table1_1[[#Headers],[Room Type]]="ICU"),"HIGH COST","NORMAL COST")</f>
        <v>HIGH COST</v>
      </c>
      <c r="P32" t="s">
        <v>322</v>
      </c>
      <c r="Q32" t="s">
        <v>333</v>
      </c>
    </row>
    <row r="33" spans="1:17" x14ac:dyDescent="0.35">
      <c r="A33" t="s">
        <v>124</v>
      </c>
      <c r="B33" t="s">
        <v>324</v>
      </c>
      <c r="C33" t="s">
        <v>19</v>
      </c>
      <c r="D33">
        <v>27</v>
      </c>
      <c r="E33" t="str">
        <f>IF(Table1_1[[#This Row],[Age]]&lt;=18,"CHILD",IF(Table1_1[[#This Row],[Age]]&lt;59,"ADULT","SENIOR"))</f>
        <v>ADULT</v>
      </c>
      <c r="F33" t="str">
        <f>IF(AND(Table1_1[[#This Row],[Age]]&gt;=60,Table1_1[[#This Row],[Insurance Status]]="INSURED"),"SENIOR ELIGIBLE","NOT ELIGIBLE")</f>
        <v>NOT ELIGIBLE</v>
      </c>
      <c r="G33" t="s">
        <v>20</v>
      </c>
      <c r="H33" t="s">
        <v>325</v>
      </c>
      <c r="I33" t="s">
        <v>338</v>
      </c>
      <c r="J33" s="1">
        <v>46039</v>
      </c>
      <c r="K33" s="1">
        <v>46042</v>
      </c>
      <c r="L33" t="s">
        <v>327</v>
      </c>
      <c r="M33" t="s">
        <v>328</v>
      </c>
      <c r="N33">
        <v>44834</v>
      </c>
      <c r="O33" t="str">
        <f>IF(OR(Table1_1[[#This Row],[Treatment Cost]]&gt;=20000,Table1_1[[#Headers],[Room Type]]="ICU"),"HIGH COST","NORMAL COST")</f>
        <v>HIGH COST</v>
      </c>
      <c r="P33" t="s">
        <v>331</v>
      </c>
      <c r="Q33" t="s">
        <v>23</v>
      </c>
    </row>
    <row r="34" spans="1:17" x14ac:dyDescent="0.35">
      <c r="A34" t="s">
        <v>44</v>
      </c>
      <c r="B34" t="s">
        <v>334</v>
      </c>
      <c r="C34" t="s">
        <v>15</v>
      </c>
      <c r="D34">
        <v>80</v>
      </c>
      <c r="E34" t="str">
        <f>IF(Table1_1[[#This Row],[Age]]&lt;=18,"CHILD",IF(Table1_1[[#This Row],[Age]]&lt;59,"ADULT","SENIOR"))</f>
        <v>SENIOR</v>
      </c>
      <c r="F34" t="str">
        <f>IF(AND(Table1_1[[#This Row],[Age]]&gt;=60,Table1_1[[#This Row],[Insurance Status]]="INSURED"),"SENIOR ELIGIBLE","NOT ELIGIBLE")</f>
        <v>SENIOR ELIGIBLE</v>
      </c>
      <c r="G34" t="s">
        <v>26</v>
      </c>
      <c r="H34" t="s">
        <v>319</v>
      </c>
      <c r="I34" t="s">
        <v>336</v>
      </c>
      <c r="J34" s="1">
        <v>46202</v>
      </c>
      <c r="K34" s="1">
        <v>46211</v>
      </c>
      <c r="L34" t="s">
        <v>17</v>
      </c>
      <c r="M34" t="s">
        <v>335</v>
      </c>
      <c r="N34">
        <v>44721</v>
      </c>
      <c r="O34" t="str">
        <f>IF(OR(Table1_1[[#This Row],[Treatment Cost]]&gt;=20000,Table1_1[[#Headers],[Room Type]]="ICU"),"HIGH COST","NORMAL COST")</f>
        <v>HIGH COST</v>
      </c>
      <c r="P34" t="s">
        <v>331</v>
      </c>
      <c r="Q34" t="s">
        <v>333</v>
      </c>
    </row>
    <row r="35" spans="1:17" x14ac:dyDescent="0.35">
      <c r="A35" t="s">
        <v>59</v>
      </c>
      <c r="B35" t="s">
        <v>340</v>
      </c>
      <c r="C35" t="s">
        <v>19</v>
      </c>
      <c r="D35">
        <v>30</v>
      </c>
      <c r="E35" t="str">
        <f>IF(Table1_1[[#This Row],[Age]]&lt;=18,"CHILD",IF(Table1_1[[#This Row],[Age]]&lt;59,"ADULT","SENIOR"))</f>
        <v>ADULT</v>
      </c>
      <c r="F35" t="str">
        <f>IF(AND(Table1_1[[#This Row],[Age]]&gt;=60,Table1_1[[#This Row],[Insurance Status]]="INSURED"),"SENIOR ELIGIBLE","NOT ELIGIBLE")</f>
        <v>NOT ELIGIBLE</v>
      </c>
      <c r="G35" t="s">
        <v>20</v>
      </c>
      <c r="H35" t="s">
        <v>319</v>
      </c>
      <c r="I35" t="s">
        <v>338</v>
      </c>
      <c r="J35" s="1">
        <v>46078</v>
      </c>
      <c r="K35" s="1">
        <v>46087</v>
      </c>
      <c r="L35" t="s">
        <v>17</v>
      </c>
      <c r="M35" t="s">
        <v>321</v>
      </c>
      <c r="N35">
        <v>44699</v>
      </c>
      <c r="O35" t="str">
        <f>IF(OR(Table1_1[[#This Row],[Treatment Cost]]&gt;=20000,Table1_1[[#Headers],[Room Type]]="ICU"),"HIGH COST","NORMAL COST")</f>
        <v>HIGH COST</v>
      </c>
      <c r="P35" t="s">
        <v>322</v>
      </c>
      <c r="Q35" t="s">
        <v>333</v>
      </c>
    </row>
    <row r="36" spans="1:17" x14ac:dyDescent="0.35">
      <c r="A36" t="s">
        <v>100</v>
      </c>
      <c r="B36" t="s">
        <v>318</v>
      </c>
      <c r="C36" t="s">
        <v>15</v>
      </c>
      <c r="D36">
        <v>46</v>
      </c>
      <c r="E36" t="str">
        <f>IF(Table1_1[[#This Row],[Age]]&lt;=18,"CHILD",IF(Table1_1[[#This Row],[Age]]&lt;59,"ADULT","SENIOR"))</f>
        <v>ADULT</v>
      </c>
      <c r="F36" t="str">
        <f>IF(AND(Table1_1[[#This Row],[Age]]&gt;=60,Table1_1[[#This Row],[Insurance Status]]="INSURED"),"SENIOR ELIGIBLE","NOT ELIGIBLE")</f>
        <v>NOT ELIGIBLE</v>
      </c>
      <c r="G36" t="s">
        <v>16</v>
      </c>
      <c r="H36" t="s">
        <v>329</v>
      </c>
      <c r="I36" t="s">
        <v>336</v>
      </c>
      <c r="J36" s="1">
        <v>46143</v>
      </c>
      <c r="K36" s="1">
        <v>46150</v>
      </c>
      <c r="L36" t="s">
        <v>339</v>
      </c>
      <c r="M36" t="s">
        <v>330</v>
      </c>
      <c r="N36">
        <v>44608</v>
      </c>
      <c r="O36" t="str">
        <f>IF(OR(Table1_1[[#This Row],[Treatment Cost]]&gt;=20000,Table1_1[[#Headers],[Room Type]]="ICU"),"HIGH COST","NORMAL COST")</f>
        <v>HIGH COST</v>
      </c>
      <c r="P36" t="s">
        <v>331</v>
      </c>
      <c r="Q36" t="s">
        <v>333</v>
      </c>
    </row>
    <row r="37" spans="1:17" x14ac:dyDescent="0.35">
      <c r="A37" t="s">
        <v>140</v>
      </c>
      <c r="B37" t="s">
        <v>341</v>
      </c>
      <c r="C37" t="s">
        <v>15</v>
      </c>
      <c r="D37">
        <v>26</v>
      </c>
      <c r="E37" t="str">
        <f>IF(Table1_1[[#This Row],[Age]]&lt;=18,"CHILD",IF(Table1_1[[#This Row],[Age]]&lt;59,"ADULT","SENIOR"))</f>
        <v>ADULT</v>
      </c>
      <c r="F37" t="str">
        <f>IF(AND(Table1_1[[#This Row],[Age]]&gt;=60,Table1_1[[#This Row],[Insurance Status]]="INSURED"),"SENIOR ELIGIBLE","NOT ELIGIBLE")</f>
        <v>NOT ELIGIBLE</v>
      </c>
      <c r="G37" t="s">
        <v>20</v>
      </c>
      <c r="H37" t="s">
        <v>325</v>
      </c>
      <c r="I37" t="s">
        <v>338</v>
      </c>
      <c r="J37" s="1">
        <v>46144</v>
      </c>
      <c r="K37" s="1">
        <v>46149</v>
      </c>
      <c r="L37" t="s">
        <v>332</v>
      </c>
      <c r="M37" t="s">
        <v>330</v>
      </c>
      <c r="N37">
        <v>44545</v>
      </c>
      <c r="O37" t="str">
        <f>IF(OR(Table1_1[[#This Row],[Treatment Cost]]&gt;=20000,Table1_1[[#Headers],[Room Type]]="ICU"),"HIGH COST","NORMAL COST")</f>
        <v>HIGH COST</v>
      </c>
      <c r="P37" t="s">
        <v>331</v>
      </c>
      <c r="Q37" t="s">
        <v>323</v>
      </c>
    </row>
    <row r="38" spans="1:17" x14ac:dyDescent="0.35">
      <c r="A38" t="s">
        <v>175</v>
      </c>
      <c r="B38" t="s">
        <v>340</v>
      </c>
      <c r="C38" t="s">
        <v>15</v>
      </c>
      <c r="D38">
        <v>74</v>
      </c>
      <c r="E38" t="str">
        <f>IF(Table1_1[[#This Row],[Age]]&lt;=18,"CHILD",IF(Table1_1[[#This Row],[Age]]&lt;59,"ADULT","SENIOR"))</f>
        <v>SENIOR</v>
      </c>
      <c r="F38" t="str">
        <f>IF(AND(Table1_1[[#This Row],[Age]]&gt;=60,Table1_1[[#This Row],[Insurance Status]]="INSURED"),"SENIOR ELIGIBLE","NOT ELIGIBLE")</f>
        <v>NOT ELIGIBLE</v>
      </c>
      <c r="G38" t="s">
        <v>26</v>
      </c>
      <c r="H38" t="s">
        <v>342</v>
      </c>
      <c r="I38" t="s">
        <v>320</v>
      </c>
      <c r="J38" s="1">
        <v>46024</v>
      </c>
      <c r="K38" s="1">
        <v>46026</v>
      </c>
      <c r="L38" t="s">
        <v>339</v>
      </c>
      <c r="M38" t="s">
        <v>328</v>
      </c>
      <c r="N38">
        <v>44270</v>
      </c>
      <c r="O38" t="str">
        <f>IF(OR(Table1_1[[#This Row],[Treatment Cost]]&gt;=20000,Table1_1[[#Headers],[Room Type]]="ICU"),"HIGH COST","NORMAL COST")</f>
        <v>HIGH COST</v>
      </c>
      <c r="P38" t="s">
        <v>322</v>
      </c>
      <c r="Q38" t="s">
        <v>333</v>
      </c>
    </row>
    <row r="39" spans="1:17" x14ac:dyDescent="0.35">
      <c r="A39" t="s">
        <v>123</v>
      </c>
      <c r="B39" t="s">
        <v>318</v>
      </c>
      <c r="C39" t="s">
        <v>19</v>
      </c>
      <c r="D39">
        <v>52</v>
      </c>
      <c r="E39" t="str">
        <f>IF(Table1_1[[#This Row],[Age]]&lt;=18,"CHILD",IF(Table1_1[[#This Row],[Age]]&lt;59,"ADULT","SENIOR"))</f>
        <v>ADULT</v>
      </c>
      <c r="F39" t="str">
        <f>IF(AND(Table1_1[[#This Row],[Age]]&gt;=60,Table1_1[[#This Row],[Insurance Status]]="INSURED"),"SENIOR ELIGIBLE","NOT ELIGIBLE")</f>
        <v>NOT ELIGIBLE</v>
      </c>
      <c r="G39" t="s">
        <v>22</v>
      </c>
      <c r="H39" t="s">
        <v>329</v>
      </c>
      <c r="I39" t="s">
        <v>336</v>
      </c>
      <c r="J39" s="1">
        <v>46090</v>
      </c>
      <c r="K39" s="1">
        <v>46095</v>
      </c>
      <c r="L39" t="s">
        <v>327</v>
      </c>
      <c r="M39" t="s">
        <v>335</v>
      </c>
      <c r="N39">
        <v>44034</v>
      </c>
      <c r="O39" t="str">
        <f>IF(OR(Table1_1[[#This Row],[Treatment Cost]]&gt;=20000,Table1_1[[#Headers],[Room Type]]="ICU"),"HIGH COST","NORMAL COST")</f>
        <v>HIGH COST</v>
      </c>
      <c r="P39" t="s">
        <v>331</v>
      </c>
      <c r="Q39" t="s">
        <v>23</v>
      </c>
    </row>
    <row r="40" spans="1:17" x14ac:dyDescent="0.35">
      <c r="A40" t="s">
        <v>200</v>
      </c>
      <c r="B40" t="s">
        <v>324</v>
      </c>
      <c r="C40" t="s">
        <v>15</v>
      </c>
      <c r="D40">
        <v>55</v>
      </c>
      <c r="E40" t="str">
        <f>IF(Table1_1[[#This Row],[Age]]&lt;=18,"CHILD",IF(Table1_1[[#This Row],[Age]]&lt;59,"ADULT","SENIOR"))</f>
        <v>ADULT</v>
      </c>
      <c r="F40" t="str">
        <f>IF(AND(Table1_1[[#This Row],[Age]]&gt;=60,Table1_1[[#This Row],[Insurance Status]]="INSURED"),"SENIOR ELIGIBLE","NOT ELIGIBLE")</f>
        <v>NOT ELIGIBLE</v>
      </c>
      <c r="G40" t="s">
        <v>22</v>
      </c>
      <c r="H40" t="s">
        <v>325</v>
      </c>
      <c r="I40" t="s">
        <v>338</v>
      </c>
      <c r="J40" s="1">
        <v>46197</v>
      </c>
      <c r="K40" s="1">
        <v>46198</v>
      </c>
      <c r="L40" t="s">
        <v>332</v>
      </c>
      <c r="M40" t="s">
        <v>330</v>
      </c>
      <c r="N40">
        <v>44009</v>
      </c>
      <c r="O40" t="str">
        <f>IF(OR(Table1_1[[#This Row],[Treatment Cost]]&gt;=20000,Table1_1[[#Headers],[Room Type]]="ICU"),"HIGH COST","NORMAL COST")</f>
        <v>HIGH COST</v>
      </c>
      <c r="P40" t="s">
        <v>322</v>
      </c>
      <c r="Q40" t="s">
        <v>323</v>
      </c>
    </row>
    <row r="41" spans="1:17" x14ac:dyDescent="0.35">
      <c r="A41" t="s">
        <v>245</v>
      </c>
      <c r="B41" t="s">
        <v>340</v>
      </c>
      <c r="C41" t="s">
        <v>19</v>
      </c>
      <c r="D41">
        <v>83</v>
      </c>
      <c r="E41" t="str">
        <f>IF(Table1_1[[#This Row],[Age]]&lt;=18,"CHILD",IF(Table1_1[[#This Row],[Age]]&lt;59,"ADULT","SENIOR"))</f>
        <v>SENIOR</v>
      </c>
      <c r="F41" t="str">
        <f>IF(AND(Table1_1[[#This Row],[Age]]&gt;=60,Table1_1[[#This Row],[Insurance Status]]="INSURED"),"SENIOR ELIGIBLE","NOT ELIGIBLE")</f>
        <v>SENIOR ELIGIBLE</v>
      </c>
      <c r="G41" t="s">
        <v>22</v>
      </c>
      <c r="H41" t="s">
        <v>329</v>
      </c>
      <c r="I41" t="s">
        <v>336</v>
      </c>
      <c r="J41" s="1">
        <v>46044</v>
      </c>
      <c r="K41" s="1">
        <v>46050</v>
      </c>
      <c r="L41" t="s">
        <v>327</v>
      </c>
      <c r="M41" t="s">
        <v>328</v>
      </c>
      <c r="N41">
        <v>43827</v>
      </c>
      <c r="O41" t="str">
        <f>IF(OR(Table1_1[[#This Row],[Treatment Cost]]&gt;=20000,Table1_1[[#Headers],[Room Type]]="ICU"),"HIGH COST","NORMAL COST")</f>
        <v>HIGH COST</v>
      </c>
      <c r="P41" t="s">
        <v>331</v>
      </c>
      <c r="Q41" t="s">
        <v>323</v>
      </c>
    </row>
    <row r="42" spans="1:17" x14ac:dyDescent="0.35">
      <c r="A42" t="s">
        <v>111</v>
      </c>
      <c r="B42" t="s">
        <v>340</v>
      </c>
      <c r="C42" t="s">
        <v>15</v>
      </c>
      <c r="D42">
        <v>40</v>
      </c>
      <c r="E42" t="str">
        <f>IF(Table1_1[[#This Row],[Age]]&lt;=18,"CHILD",IF(Table1_1[[#This Row],[Age]]&lt;59,"ADULT","SENIOR"))</f>
        <v>ADULT</v>
      </c>
      <c r="F42" t="str">
        <f>IF(AND(Table1_1[[#This Row],[Age]]&gt;=60,Table1_1[[#This Row],[Insurance Status]]="INSURED"),"SENIOR ELIGIBLE","NOT ELIGIBLE")</f>
        <v>NOT ELIGIBLE</v>
      </c>
      <c r="G42" t="s">
        <v>26</v>
      </c>
      <c r="H42" t="s">
        <v>342</v>
      </c>
      <c r="I42" t="s">
        <v>326</v>
      </c>
      <c r="J42" s="1">
        <v>46086</v>
      </c>
      <c r="K42" s="1">
        <v>46093</v>
      </c>
      <c r="L42" t="s">
        <v>17</v>
      </c>
      <c r="M42" t="s">
        <v>335</v>
      </c>
      <c r="N42">
        <v>43528</v>
      </c>
      <c r="O42" t="str">
        <f>IF(OR(Table1_1[[#This Row],[Treatment Cost]]&gt;=20000,Table1_1[[#Headers],[Room Type]]="ICU"),"HIGH COST","NORMAL COST")</f>
        <v>HIGH COST</v>
      </c>
      <c r="P42" t="s">
        <v>331</v>
      </c>
      <c r="Q42" t="s">
        <v>23</v>
      </c>
    </row>
    <row r="43" spans="1:17" x14ac:dyDescent="0.35">
      <c r="A43" t="s">
        <v>239</v>
      </c>
      <c r="B43" t="s">
        <v>340</v>
      </c>
      <c r="C43" t="s">
        <v>19</v>
      </c>
      <c r="D43">
        <v>35</v>
      </c>
      <c r="E43" t="str">
        <f>IF(Table1_1[[#This Row],[Age]]&lt;=18,"CHILD",IF(Table1_1[[#This Row],[Age]]&lt;59,"ADULT","SENIOR"))</f>
        <v>ADULT</v>
      </c>
      <c r="F43" t="str">
        <f>IF(AND(Table1_1[[#This Row],[Age]]&gt;=60,Table1_1[[#This Row],[Insurance Status]]="INSURED"),"SENIOR ELIGIBLE","NOT ELIGIBLE")</f>
        <v>NOT ELIGIBLE</v>
      </c>
      <c r="G43" t="s">
        <v>20</v>
      </c>
      <c r="H43" t="s">
        <v>329</v>
      </c>
      <c r="I43" t="s">
        <v>336</v>
      </c>
      <c r="J43" s="1">
        <v>46115</v>
      </c>
      <c r="K43" s="1">
        <v>46123</v>
      </c>
      <c r="L43" t="s">
        <v>332</v>
      </c>
      <c r="M43" t="s">
        <v>321</v>
      </c>
      <c r="N43">
        <v>43325</v>
      </c>
      <c r="O43" t="str">
        <f>IF(OR(Table1_1[[#This Row],[Treatment Cost]]&gt;=20000,Table1_1[[#Headers],[Room Type]]="ICU"),"HIGH COST","NORMAL COST")</f>
        <v>HIGH COST</v>
      </c>
      <c r="P43" t="s">
        <v>322</v>
      </c>
      <c r="Q43" t="s">
        <v>323</v>
      </c>
    </row>
    <row r="44" spans="1:17" x14ac:dyDescent="0.35">
      <c r="A44" t="s">
        <v>168</v>
      </c>
      <c r="B44" t="s">
        <v>341</v>
      </c>
      <c r="C44" t="s">
        <v>15</v>
      </c>
      <c r="D44">
        <v>45</v>
      </c>
      <c r="E44" t="str">
        <f>IF(Table1_1[[#This Row],[Age]]&lt;=18,"CHILD",IF(Table1_1[[#This Row],[Age]]&lt;59,"ADULT","SENIOR"))</f>
        <v>ADULT</v>
      </c>
      <c r="F44" t="str">
        <f>IF(AND(Table1_1[[#This Row],[Age]]&gt;=60,Table1_1[[#This Row],[Insurance Status]]="INSURED"),"SENIOR ELIGIBLE","NOT ELIGIBLE")</f>
        <v>NOT ELIGIBLE</v>
      </c>
      <c r="G44" t="s">
        <v>26</v>
      </c>
      <c r="H44" t="s">
        <v>342</v>
      </c>
      <c r="I44" t="s">
        <v>326</v>
      </c>
      <c r="J44" s="1">
        <v>46059</v>
      </c>
      <c r="K44" s="1">
        <v>46068</v>
      </c>
      <c r="L44" t="s">
        <v>339</v>
      </c>
      <c r="M44" t="s">
        <v>321</v>
      </c>
      <c r="N44">
        <v>43310</v>
      </c>
      <c r="O44" t="str">
        <f>IF(OR(Table1_1[[#This Row],[Treatment Cost]]&gt;=20000,Table1_1[[#Headers],[Room Type]]="ICU"),"HIGH COST","NORMAL COST")</f>
        <v>HIGH COST</v>
      </c>
      <c r="P44" t="s">
        <v>322</v>
      </c>
      <c r="Q44" t="s">
        <v>333</v>
      </c>
    </row>
    <row r="45" spans="1:17" x14ac:dyDescent="0.35">
      <c r="A45" t="s">
        <v>286</v>
      </c>
      <c r="B45" t="s">
        <v>318</v>
      </c>
      <c r="C45" t="s">
        <v>19</v>
      </c>
      <c r="D45">
        <v>34</v>
      </c>
      <c r="E45" t="str">
        <f>IF(Table1_1[[#This Row],[Age]]&lt;=18,"CHILD",IF(Table1_1[[#This Row],[Age]]&lt;59,"ADULT","SENIOR"))</f>
        <v>ADULT</v>
      </c>
      <c r="F45" t="str">
        <f>IF(AND(Table1_1[[#This Row],[Age]]&gt;=60,Table1_1[[#This Row],[Insurance Status]]="INSURED"),"SENIOR ELIGIBLE","NOT ELIGIBLE")</f>
        <v>NOT ELIGIBLE</v>
      </c>
      <c r="G45" t="s">
        <v>16</v>
      </c>
      <c r="H45" t="s">
        <v>329</v>
      </c>
      <c r="I45" t="s">
        <v>338</v>
      </c>
      <c r="J45" s="1">
        <v>46160</v>
      </c>
      <c r="K45" s="1">
        <v>46167</v>
      </c>
      <c r="L45" t="s">
        <v>327</v>
      </c>
      <c r="M45" t="s">
        <v>321</v>
      </c>
      <c r="N45">
        <v>43065</v>
      </c>
      <c r="O45" t="str">
        <f>IF(OR(Table1_1[[#This Row],[Treatment Cost]]&gt;=20000,Table1_1[[#Headers],[Room Type]]="ICU"),"HIGH COST","NORMAL COST")</f>
        <v>HIGH COST</v>
      </c>
      <c r="P45" t="s">
        <v>331</v>
      </c>
      <c r="Q45" t="s">
        <v>323</v>
      </c>
    </row>
    <row r="46" spans="1:17" x14ac:dyDescent="0.35">
      <c r="A46" t="s">
        <v>78</v>
      </c>
      <c r="B46" t="s">
        <v>334</v>
      </c>
      <c r="C46" t="s">
        <v>19</v>
      </c>
      <c r="D46">
        <v>65</v>
      </c>
      <c r="E46" t="str">
        <f>IF(Table1_1[[#This Row],[Age]]&lt;=18,"CHILD",IF(Table1_1[[#This Row],[Age]]&lt;59,"ADULT","SENIOR"))</f>
        <v>SENIOR</v>
      </c>
      <c r="F46" t="str">
        <f>IF(AND(Table1_1[[#This Row],[Age]]&gt;=60,Table1_1[[#This Row],[Insurance Status]]="INSURED"),"SENIOR ELIGIBLE","NOT ELIGIBLE")</f>
        <v>NOT ELIGIBLE</v>
      </c>
      <c r="G46" t="s">
        <v>22</v>
      </c>
      <c r="H46" t="s">
        <v>325</v>
      </c>
      <c r="I46" t="s">
        <v>336</v>
      </c>
      <c r="J46" s="1">
        <v>46111</v>
      </c>
      <c r="K46" s="1">
        <v>46121</v>
      </c>
      <c r="L46" t="s">
        <v>339</v>
      </c>
      <c r="M46" t="s">
        <v>328</v>
      </c>
      <c r="N46">
        <v>43035</v>
      </c>
      <c r="O46" t="str">
        <f>IF(OR(Table1_1[[#This Row],[Treatment Cost]]&gt;=20000,Table1_1[[#Headers],[Room Type]]="ICU"),"HIGH COST","NORMAL COST")</f>
        <v>HIGH COST</v>
      </c>
      <c r="P46" t="s">
        <v>322</v>
      </c>
      <c r="Q46" t="s">
        <v>323</v>
      </c>
    </row>
    <row r="47" spans="1:17" x14ac:dyDescent="0.35">
      <c r="A47" t="s">
        <v>221</v>
      </c>
      <c r="B47" t="s">
        <v>324</v>
      </c>
      <c r="C47" t="s">
        <v>15</v>
      </c>
      <c r="D47">
        <v>84</v>
      </c>
      <c r="E47" t="str">
        <f>IF(Table1_1[[#This Row],[Age]]&lt;=18,"CHILD",IF(Table1_1[[#This Row],[Age]]&lt;59,"ADULT","SENIOR"))</f>
        <v>SENIOR</v>
      </c>
      <c r="F47" t="str">
        <f>IF(AND(Table1_1[[#This Row],[Age]]&gt;=60,Table1_1[[#This Row],[Insurance Status]]="INSURED"),"SENIOR ELIGIBLE","NOT ELIGIBLE")</f>
        <v>NOT ELIGIBLE</v>
      </c>
      <c r="G47" t="s">
        <v>26</v>
      </c>
      <c r="H47" t="s">
        <v>325</v>
      </c>
      <c r="I47" t="s">
        <v>338</v>
      </c>
      <c r="J47" s="1">
        <v>46054</v>
      </c>
      <c r="K47" s="1">
        <v>46055</v>
      </c>
      <c r="L47" t="s">
        <v>17</v>
      </c>
      <c r="M47" t="s">
        <v>335</v>
      </c>
      <c r="N47">
        <v>42974</v>
      </c>
      <c r="O47" t="str">
        <f>IF(OR(Table1_1[[#This Row],[Treatment Cost]]&gt;=20000,Table1_1[[#Headers],[Room Type]]="ICU"),"HIGH COST","NORMAL COST")</f>
        <v>HIGH COST</v>
      </c>
      <c r="P47" t="s">
        <v>322</v>
      </c>
      <c r="Q47" t="s">
        <v>333</v>
      </c>
    </row>
    <row r="48" spans="1:17" x14ac:dyDescent="0.35">
      <c r="A48" t="s">
        <v>230</v>
      </c>
      <c r="B48" t="s">
        <v>341</v>
      </c>
      <c r="C48" t="s">
        <v>15</v>
      </c>
      <c r="D48">
        <v>73</v>
      </c>
      <c r="E48" t="str">
        <f>IF(Table1_1[[#This Row],[Age]]&lt;=18,"CHILD",IF(Table1_1[[#This Row],[Age]]&lt;59,"ADULT","SENIOR"))</f>
        <v>SENIOR</v>
      </c>
      <c r="F48" t="str">
        <f>IF(AND(Table1_1[[#This Row],[Age]]&gt;=60,Table1_1[[#This Row],[Insurance Status]]="INSURED"),"SENIOR ELIGIBLE","NOT ELIGIBLE")</f>
        <v>SENIOR ELIGIBLE</v>
      </c>
      <c r="G48" t="s">
        <v>26</v>
      </c>
      <c r="H48" t="s">
        <v>329</v>
      </c>
      <c r="I48" t="s">
        <v>338</v>
      </c>
      <c r="J48" s="1">
        <v>46127</v>
      </c>
      <c r="K48" s="1">
        <v>46136</v>
      </c>
      <c r="L48" t="s">
        <v>17</v>
      </c>
      <c r="M48" t="s">
        <v>328</v>
      </c>
      <c r="N48">
        <v>42856</v>
      </c>
      <c r="O48" t="str">
        <f>IF(OR(Table1_1[[#This Row],[Treatment Cost]]&gt;=20000,Table1_1[[#Headers],[Room Type]]="ICU"),"HIGH COST","NORMAL COST")</f>
        <v>HIGH COST</v>
      </c>
      <c r="P48" t="s">
        <v>331</v>
      </c>
      <c r="Q48" t="s">
        <v>23</v>
      </c>
    </row>
    <row r="49" spans="1:17" x14ac:dyDescent="0.35">
      <c r="A49" t="s">
        <v>250</v>
      </c>
      <c r="B49" t="s">
        <v>337</v>
      </c>
      <c r="C49" t="s">
        <v>19</v>
      </c>
      <c r="D49">
        <v>76</v>
      </c>
      <c r="E49" t="str">
        <f>IF(Table1_1[[#This Row],[Age]]&lt;=18,"CHILD",IF(Table1_1[[#This Row],[Age]]&lt;59,"ADULT","SENIOR"))</f>
        <v>SENIOR</v>
      </c>
      <c r="F49" t="str">
        <f>IF(AND(Table1_1[[#This Row],[Age]]&gt;=60,Table1_1[[#This Row],[Insurance Status]]="INSURED"),"SENIOR ELIGIBLE","NOT ELIGIBLE")</f>
        <v>NOT ELIGIBLE</v>
      </c>
      <c r="G49" t="s">
        <v>20</v>
      </c>
      <c r="H49" t="s">
        <v>342</v>
      </c>
      <c r="I49" t="s">
        <v>326</v>
      </c>
      <c r="J49" s="1">
        <v>46181</v>
      </c>
      <c r="K49" s="1">
        <v>46182</v>
      </c>
      <c r="L49" t="s">
        <v>17</v>
      </c>
      <c r="M49" t="s">
        <v>321</v>
      </c>
      <c r="N49">
        <v>42721</v>
      </c>
      <c r="O49" t="str">
        <f>IF(OR(Table1_1[[#This Row],[Treatment Cost]]&gt;=20000,Table1_1[[#Headers],[Room Type]]="ICU"),"HIGH COST","NORMAL COST")</f>
        <v>HIGH COST</v>
      </c>
      <c r="P49" t="s">
        <v>322</v>
      </c>
      <c r="Q49" t="s">
        <v>23</v>
      </c>
    </row>
    <row r="50" spans="1:17" x14ac:dyDescent="0.35">
      <c r="A50" t="s">
        <v>234</v>
      </c>
      <c r="B50" t="s">
        <v>341</v>
      </c>
      <c r="C50" t="s">
        <v>15</v>
      </c>
      <c r="D50">
        <v>59</v>
      </c>
      <c r="E50" t="str">
        <f>IF(Table1_1[[#This Row],[Age]]&lt;=18,"CHILD",IF(Table1_1[[#This Row],[Age]]&lt;59,"ADULT","SENIOR"))</f>
        <v>SENIOR</v>
      </c>
      <c r="F50" t="str">
        <f>IF(AND(Table1_1[[#This Row],[Age]]&gt;=60,Table1_1[[#This Row],[Insurance Status]]="INSURED"),"SENIOR ELIGIBLE","NOT ELIGIBLE")</f>
        <v>NOT ELIGIBLE</v>
      </c>
      <c r="G50" t="s">
        <v>20</v>
      </c>
      <c r="H50" t="s">
        <v>325</v>
      </c>
      <c r="I50" t="s">
        <v>336</v>
      </c>
      <c r="J50" s="1">
        <v>46034</v>
      </c>
      <c r="K50" s="1">
        <v>46040</v>
      </c>
      <c r="L50" t="s">
        <v>332</v>
      </c>
      <c r="M50" t="s">
        <v>321</v>
      </c>
      <c r="N50">
        <v>42171</v>
      </c>
      <c r="O50" t="str">
        <f>IF(OR(Table1_1[[#This Row],[Treatment Cost]]&gt;=20000,Table1_1[[#Headers],[Room Type]]="ICU"),"HIGH COST","NORMAL COST")</f>
        <v>HIGH COST</v>
      </c>
      <c r="P50" t="s">
        <v>331</v>
      </c>
      <c r="Q50" t="s">
        <v>323</v>
      </c>
    </row>
    <row r="51" spans="1:17" x14ac:dyDescent="0.35">
      <c r="A51" t="s">
        <v>241</v>
      </c>
      <c r="B51" t="s">
        <v>337</v>
      </c>
      <c r="C51" t="s">
        <v>15</v>
      </c>
      <c r="D51">
        <v>69</v>
      </c>
      <c r="E51" t="str">
        <f>IF(Table1_1[[#This Row],[Age]]&lt;=18,"CHILD",IF(Table1_1[[#This Row],[Age]]&lt;59,"ADULT","SENIOR"))</f>
        <v>SENIOR</v>
      </c>
      <c r="F51" t="str">
        <f>IF(AND(Table1_1[[#This Row],[Age]]&gt;=60,Table1_1[[#This Row],[Insurance Status]]="INSURED"),"SENIOR ELIGIBLE","NOT ELIGIBLE")</f>
        <v>SENIOR ELIGIBLE</v>
      </c>
      <c r="G51" t="s">
        <v>16</v>
      </c>
      <c r="H51" t="s">
        <v>329</v>
      </c>
      <c r="I51" t="s">
        <v>326</v>
      </c>
      <c r="J51" s="1">
        <v>46073</v>
      </c>
      <c r="K51" s="1">
        <v>46074</v>
      </c>
      <c r="L51" t="s">
        <v>339</v>
      </c>
      <c r="M51" t="s">
        <v>328</v>
      </c>
      <c r="N51">
        <v>42053</v>
      </c>
      <c r="O51" t="str">
        <f>IF(OR(Table1_1[[#This Row],[Treatment Cost]]&gt;=20000,Table1_1[[#Headers],[Room Type]]="ICU"),"HIGH COST","NORMAL COST")</f>
        <v>HIGH COST</v>
      </c>
      <c r="P51" t="s">
        <v>331</v>
      </c>
      <c r="Q51" t="s">
        <v>23</v>
      </c>
    </row>
    <row r="52" spans="1:17" x14ac:dyDescent="0.35">
      <c r="A52" t="s">
        <v>261</v>
      </c>
      <c r="B52" t="s">
        <v>334</v>
      </c>
      <c r="C52" t="s">
        <v>15</v>
      </c>
      <c r="D52">
        <v>84</v>
      </c>
      <c r="E52" t="str">
        <f>IF(Table1_1[[#This Row],[Age]]&lt;=18,"CHILD",IF(Table1_1[[#This Row],[Age]]&lt;59,"ADULT","SENIOR"))</f>
        <v>SENIOR</v>
      </c>
      <c r="F52" t="str">
        <f>IF(AND(Table1_1[[#This Row],[Age]]&gt;=60,Table1_1[[#This Row],[Insurance Status]]="INSURED"),"SENIOR ELIGIBLE","NOT ELIGIBLE")</f>
        <v>SENIOR ELIGIBLE</v>
      </c>
      <c r="G52" t="s">
        <v>16</v>
      </c>
      <c r="H52" t="s">
        <v>342</v>
      </c>
      <c r="I52" t="s">
        <v>320</v>
      </c>
      <c r="J52" s="1">
        <v>46128</v>
      </c>
      <c r="K52" s="1">
        <v>46132</v>
      </c>
      <c r="L52" t="s">
        <v>332</v>
      </c>
      <c r="M52" t="s">
        <v>330</v>
      </c>
      <c r="N52">
        <v>41712</v>
      </c>
      <c r="O52" t="str">
        <f>IF(OR(Table1_1[[#This Row],[Treatment Cost]]&gt;=20000,Table1_1[[#Headers],[Room Type]]="ICU"),"HIGH COST","NORMAL COST")</f>
        <v>HIGH COST</v>
      </c>
      <c r="P52" t="s">
        <v>331</v>
      </c>
      <c r="Q52" t="s">
        <v>23</v>
      </c>
    </row>
    <row r="53" spans="1:17" x14ac:dyDescent="0.35">
      <c r="A53" t="s">
        <v>283</v>
      </c>
      <c r="B53" t="s">
        <v>337</v>
      </c>
      <c r="C53" t="s">
        <v>15</v>
      </c>
      <c r="D53">
        <v>69</v>
      </c>
      <c r="E53" t="str">
        <f>IF(Table1_1[[#This Row],[Age]]&lt;=18,"CHILD",IF(Table1_1[[#This Row],[Age]]&lt;59,"ADULT","SENIOR"))</f>
        <v>SENIOR</v>
      </c>
      <c r="F53" t="str">
        <f>IF(AND(Table1_1[[#This Row],[Age]]&gt;=60,Table1_1[[#This Row],[Insurance Status]]="INSURED"),"SENIOR ELIGIBLE","NOT ELIGIBLE")</f>
        <v>SENIOR ELIGIBLE</v>
      </c>
      <c r="G53" t="s">
        <v>26</v>
      </c>
      <c r="H53" t="s">
        <v>329</v>
      </c>
      <c r="I53" t="s">
        <v>338</v>
      </c>
      <c r="J53" s="1">
        <v>46180</v>
      </c>
      <c r="K53" s="1">
        <v>46190</v>
      </c>
      <c r="L53" t="s">
        <v>339</v>
      </c>
      <c r="M53" t="s">
        <v>330</v>
      </c>
      <c r="N53">
        <v>41357</v>
      </c>
      <c r="O53" t="str">
        <f>IF(OR(Table1_1[[#This Row],[Treatment Cost]]&gt;=20000,Table1_1[[#Headers],[Room Type]]="ICU"),"HIGH COST","NORMAL COST")</f>
        <v>HIGH COST</v>
      </c>
      <c r="P53" t="s">
        <v>331</v>
      </c>
      <c r="Q53" t="s">
        <v>23</v>
      </c>
    </row>
    <row r="54" spans="1:17" x14ac:dyDescent="0.35">
      <c r="A54" t="s">
        <v>152</v>
      </c>
      <c r="B54" t="s">
        <v>341</v>
      </c>
      <c r="C54" t="s">
        <v>15</v>
      </c>
      <c r="D54">
        <v>33</v>
      </c>
      <c r="E54" t="str">
        <f>IF(Table1_1[[#This Row],[Age]]&lt;=18,"CHILD",IF(Table1_1[[#This Row],[Age]]&lt;59,"ADULT","SENIOR"))</f>
        <v>ADULT</v>
      </c>
      <c r="F54" t="str">
        <f>IF(AND(Table1_1[[#This Row],[Age]]&gt;=60,Table1_1[[#This Row],[Insurance Status]]="INSURED"),"SENIOR ELIGIBLE","NOT ELIGIBLE")</f>
        <v>NOT ELIGIBLE</v>
      </c>
      <c r="G54" t="s">
        <v>20</v>
      </c>
      <c r="H54" t="s">
        <v>325</v>
      </c>
      <c r="I54" t="s">
        <v>320</v>
      </c>
      <c r="J54" s="1">
        <v>46100</v>
      </c>
      <c r="K54" s="1">
        <v>46108</v>
      </c>
      <c r="L54" t="s">
        <v>327</v>
      </c>
      <c r="M54" t="s">
        <v>335</v>
      </c>
      <c r="N54">
        <v>41198</v>
      </c>
      <c r="O54" t="str">
        <f>IF(OR(Table1_1[[#This Row],[Treatment Cost]]&gt;=20000,Table1_1[[#Headers],[Room Type]]="ICU"),"HIGH COST","NORMAL COST")</f>
        <v>HIGH COST</v>
      </c>
      <c r="P54" t="s">
        <v>322</v>
      </c>
      <c r="Q54" t="s">
        <v>23</v>
      </c>
    </row>
    <row r="55" spans="1:17" x14ac:dyDescent="0.35">
      <c r="A55" t="s">
        <v>187</v>
      </c>
      <c r="B55" t="s">
        <v>324</v>
      </c>
      <c r="C55" t="s">
        <v>19</v>
      </c>
      <c r="D55">
        <v>43</v>
      </c>
      <c r="E55" t="str">
        <f>IF(Table1_1[[#This Row],[Age]]&lt;=18,"CHILD",IF(Table1_1[[#This Row],[Age]]&lt;59,"ADULT","SENIOR"))</f>
        <v>ADULT</v>
      </c>
      <c r="F55" t="str">
        <f>IF(AND(Table1_1[[#This Row],[Age]]&gt;=60,Table1_1[[#This Row],[Insurance Status]]="INSURED"),"SENIOR ELIGIBLE","NOT ELIGIBLE")</f>
        <v>NOT ELIGIBLE</v>
      </c>
      <c r="G55" t="s">
        <v>20</v>
      </c>
      <c r="H55" t="s">
        <v>329</v>
      </c>
      <c r="I55" t="s">
        <v>326</v>
      </c>
      <c r="J55" s="1">
        <v>46054</v>
      </c>
      <c r="K55" s="1">
        <v>46058</v>
      </c>
      <c r="L55" t="s">
        <v>327</v>
      </c>
      <c r="M55" t="s">
        <v>330</v>
      </c>
      <c r="N55">
        <v>41194</v>
      </c>
      <c r="O55" t="str">
        <f>IF(OR(Table1_1[[#This Row],[Treatment Cost]]&gt;=20000,Table1_1[[#Headers],[Room Type]]="ICU"),"HIGH COST","NORMAL COST")</f>
        <v>HIGH COST</v>
      </c>
      <c r="P55" t="s">
        <v>322</v>
      </c>
      <c r="Q55" t="s">
        <v>323</v>
      </c>
    </row>
    <row r="56" spans="1:17" x14ac:dyDescent="0.35">
      <c r="A56" t="s">
        <v>127</v>
      </c>
      <c r="B56" t="s">
        <v>341</v>
      </c>
      <c r="C56" t="s">
        <v>15</v>
      </c>
      <c r="D56">
        <v>47</v>
      </c>
      <c r="E56" t="str">
        <f>IF(Table1_1[[#This Row],[Age]]&lt;=18,"CHILD",IF(Table1_1[[#This Row],[Age]]&lt;59,"ADULT","SENIOR"))</f>
        <v>ADULT</v>
      </c>
      <c r="F56" t="str">
        <f>IF(AND(Table1_1[[#This Row],[Age]]&gt;=60,Table1_1[[#This Row],[Insurance Status]]="INSURED"),"SENIOR ELIGIBLE","NOT ELIGIBLE")</f>
        <v>NOT ELIGIBLE</v>
      </c>
      <c r="G56" t="s">
        <v>22</v>
      </c>
      <c r="H56" t="s">
        <v>319</v>
      </c>
      <c r="I56" t="s">
        <v>326</v>
      </c>
      <c r="J56" s="1">
        <v>46120</v>
      </c>
      <c r="K56" s="1">
        <v>46129</v>
      </c>
      <c r="L56" t="s">
        <v>17</v>
      </c>
      <c r="M56" t="s">
        <v>321</v>
      </c>
      <c r="N56">
        <v>41156</v>
      </c>
      <c r="O56" t="str">
        <f>IF(OR(Table1_1[[#This Row],[Treatment Cost]]&gt;=20000,Table1_1[[#Headers],[Room Type]]="ICU"),"HIGH COST","NORMAL COST")</f>
        <v>HIGH COST</v>
      </c>
      <c r="P56" t="s">
        <v>322</v>
      </c>
      <c r="Q56" t="s">
        <v>333</v>
      </c>
    </row>
    <row r="57" spans="1:17" x14ac:dyDescent="0.35">
      <c r="A57" t="s">
        <v>39</v>
      </c>
      <c r="B57" t="s">
        <v>341</v>
      </c>
      <c r="C57" t="s">
        <v>15</v>
      </c>
      <c r="D57">
        <v>39</v>
      </c>
      <c r="E57" t="str">
        <f>IF(Table1_1[[#This Row],[Age]]&lt;=18,"CHILD",IF(Table1_1[[#This Row],[Age]]&lt;59,"ADULT","SENIOR"))</f>
        <v>ADULT</v>
      </c>
      <c r="F57" t="str">
        <f>IF(AND(Table1_1[[#This Row],[Age]]&gt;=60,Table1_1[[#This Row],[Insurance Status]]="INSURED"),"SENIOR ELIGIBLE","NOT ELIGIBLE")</f>
        <v>NOT ELIGIBLE</v>
      </c>
      <c r="G57" t="s">
        <v>26</v>
      </c>
      <c r="H57" t="s">
        <v>329</v>
      </c>
      <c r="I57" t="s">
        <v>326</v>
      </c>
      <c r="J57" s="1">
        <v>46138</v>
      </c>
      <c r="K57" s="1">
        <v>46139</v>
      </c>
      <c r="L57" t="s">
        <v>17</v>
      </c>
      <c r="M57" t="s">
        <v>330</v>
      </c>
      <c r="N57">
        <v>40942</v>
      </c>
      <c r="O57" t="str">
        <f>IF(OR(Table1_1[[#This Row],[Treatment Cost]]&gt;=20000,Table1_1[[#Headers],[Room Type]]="ICU"),"HIGH COST","NORMAL COST")</f>
        <v>HIGH COST</v>
      </c>
      <c r="P57" t="s">
        <v>331</v>
      </c>
      <c r="Q57" t="s">
        <v>23</v>
      </c>
    </row>
    <row r="58" spans="1:17" x14ac:dyDescent="0.35">
      <c r="A58" t="s">
        <v>192</v>
      </c>
      <c r="B58" t="s">
        <v>341</v>
      </c>
      <c r="C58" t="s">
        <v>19</v>
      </c>
      <c r="D58">
        <v>68</v>
      </c>
      <c r="E58" t="str">
        <f>IF(Table1_1[[#This Row],[Age]]&lt;=18,"CHILD",IF(Table1_1[[#This Row],[Age]]&lt;59,"ADULT","SENIOR"))</f>
        <v>SENIOR</v>
      </c>
      <c r="F58" t="str">
        <f>IF(AND(Table1_1[[#This Row],[Age]]&gt;=60,Table1_1[[#This Row],[Insurance Status]]="INSURED"),"SENIOR ELIGIBLE","NOT ELIGIBLE")</f>
        <v>SENIOR ELIGIBLE</v>
      </c>
      <c r="G58" t="s">
        <v>16</v>
      </c>
      <c r="H58" t="s">
        <v>342</v>
      </c>
      <c r="I58" t="s">
        <v>326</v>
      </c>
      <c r="J58" s="1">
        <v>46100</v>
      </c>
      <c r="K58" s="1">
        <v>46107</v>
      </c>
      <c r="L58" t="s">
        <v>332</v>
      </c>
      <c r="M58" t="s">
        <v>328</v>
      </c>
      <c r="N58">
        <v>40318</v>
      </c>
      <c r="O58" t="str">
        <f>IF(OR(Table1_1[[#This Row],[Treatment Cost]]&gt;=20000,Table1_1[[#Headers],[Room Type]]="ICU"),"HIGH COST","NORMAL COST")</f>
        <v>HIGH COST</v>
      </c>
      <c r="P58" t="s">
        <v>331</v>
      </c>
      <c r="Q58" t="s">
        <v>23</v>
      </c>
    </row>
    <row r="59" spans="1:17" x14ac:dyDescent="0.35">
      <c r="A59" t="s">
        <v>211</v>
      </c>
      <c r="B59" t="s">
        <v>340</v>
      </c>
      <c r="C59" t="s">
        <v>15</v>
      </c>
      <c r="D59">
        <v>84</v>
      </c>
      <c r="E59" t="str">
        <f>IF(Table1_1[[#This Row],[Age]]&lt;=18,"CHILD",IF(Table1_1[[#This Row],[Age]]&lt;59,"ADULT","SENIOR"))</f>
        <v>SENIOR</v>
      </c>
      <c r="F59" t="str">
        <f>IF(AND(Table1_1[[#This Row],[Age]]&gt;=60,Table1_1[[#This Row],[Insurance Status]]="INSURED"),"SENIOR ELIGIBLE","NOT ELIGIBLE")</f>
        <v>NOT ELIGIBLE</v>
      </c>
      <c r="G59" t="s">
        <v>20</v>
      </c>
      <c r="H59" t="s">
        <v>329</v>
      </c>
      <c r="I59" t="s">
        <v>336</v>
      </c>
      <c r="J59" s="1">
        <v>46106</v>
      </c>
      <c r="K59" s="1">
        <v>46107</v>
      </c>
      <c r="L59" t="s">
        <v>339</v>
      </c>
      <c r="M59" t="s">
        <v>330</v>
      </c>
      <c r="N59">
        <v>40258</v>
      </c>
      <c r="O59" t="str">
        <f>IF(OR(Table1_1[[#This Row],[Treatment Cost]]&gt;=20000,Table1_1[[#Headers],[Room Type]]="ICU"),"HIGH COST","NORMAL COST")</f>
        <v>HIGH COST</v>
      </c>
      <c r="P59" t="s">
        <v>322</v>
      </c>
      <c r="Q59" t="s">
        <v>323</v>
      </c>
    </row>
    <row r="60" spans="1:17" x14ac:dyDescent="0.35">
      <c r="A60" t="s">
        <v>305</v>
      </c>
      <c r="B60" t="s">
        <v>341</v>
      </c>
      <c r="C60" t="s">
        <v>15</v>
      </c>
      <c r="D60">
        <v>72</v>
      </c>
      <c r="E60" t="str">
        <f>IF(Table1_1[[#This Row],[Age]]&lt;=18,"CHILD",IF(Table1_1[[#This Row],[Age]]&lt;59,"ADULT","SENIOR"))</f>
        <v>SENIOR</v>
      </c>
      <c r="F60" t="str">
        <f>IF(AND(Table1_1[[#This Row],[Age]]&gt;=60,Table1_1[[#This Row],[Insurance Status]]="INSURED"),"SENIOR ELIGIBLE","NOT ELIGIBLE")</f>
        <v>SENIOR ELIGIBLE</v>
      </c>
      <c r="G60" t="s">
        <v>20</v>
      </c>
      <c r="H60" t="s">
        <v>329</v>
      </c>
      <c r="I60" t="s">
        <v>320</v>
      </c>
      <c r="J60" s="1">
        <v>46052</v>
      </c>
      <c r="K60" s="1">
        <v>46061</v>
      </c>
      <c r="L60" t="s">
        <v>327</v>
      </c>
      <c r="M60" t="s">
        <v>321</v>
      </c>
      <c r="N60">
        <v>39589</v>
      </c>
      <c r="O60" t="str">
        <f>IF(OR(Table1_1[[#This Row],[Treatment Cost]]&gt;=20000,Table1_1[[#Headers],[Room Type]]="ICU"),"HIGH COST","NORMAL COST")</f>
        <v>HIGH COST</v>
      </c>
      <c r="P60" t="s">
        <v>331</v>
      </c>
      <c r="Q60" t="s">
        <v>23</v>
      </c>
    </row>
    <row r="61" spans="1:17" x14ac:dyDescent="0.35">
      <c r="A61" t="s">
        <v>159</v>
      </c>
      <c r="B61" t="s">
        <v>318</v>
      </c>
      <c r="C61" t="s">
        <v>15</v>
      </c>
      <c r="D61">
        <v>18</v>
      </c>
      <c r="E61" t="str">
        <f>IF(Table1_1[[#This Row],[Age]]&lt;=18,"CHILD",IF(Table1_1[[#This Row],[Age]]&lt;59,"ADULT","SENIOR"))</f>
        <v>CHILD</v>
      </c>
      <c r="F61" t="str">
        <f>IF(AND(Table1_1[[#This Row],[Age]]&gt;=60,Table1_1[[#This Row],[Insurance Status]]="INSURED"),"SENIOR ELIGIBLE","NOT ELIGIBLE")</f>
        <v>NOT ELIGIBLE</v>
      </c>
      <c r="G61" t="s">
        <v>22</v>
      </c>
      <c r="H61" t="s">
        <v>319</v>
      </c>
      <c r="I61" t="s">
        <v>320</v>
      </c>
      <c r="J61" s="1">
        <v>46158</v>
      </c>
      <c r="K61" s="1">
        <v>46162</v>
      </c>
      <c r="L61" t="s">
        <v>332</v>
      </c>
      <c r="M61" t="s">
        <v>335</v>
      </c>
      <c r="N61">
        <v>39557</v>
      </c>
      <c r="O61" t="str">
        <f>IF(OR(Table1_1[[#This Row],[Treatment Cost]]&gt;=20000,Table1_1[[#Headers],[Room Type]]="ICU"),"HIGH COST","NORMAL COST")</f>
        <v>HIGH COST</v>
      </c>
      <c r="P61" t="s">
        <v>322</v>
      </c>
      <c r="Q61" t="s">
        <v>333</v>
      </c>
    </row>
    <row r="62" spans="1:17" x14ac:dyDescent="0.35">
      <c r="A62" t="s">
        <v>302</v>
      </c>
      <c r="B62" t="s">
        <v>334</v>
      </c>
      <c r="C62" t="s">
        <v>15</v>
      </c>
      <c r="D62">
        <v>38</v>
      </c>
      <c r="E62" t="str">
        <f>IF(Table1_1[[#This Row],[Age]]&lt;=18,"CHILD",IF(Table1_1[[#This Row],[Age]]&lt;59,"ADULT","SENIOR"))</f>
        <v>ADULT</v>
      </c>
      <c r="F62" t="str">
        <f>IF(AND(Table1_1[[#This Row],[Age]]&gt;=60,Table1_1[[#This Row],[Insurance Status]]="INSURED"),"SENIOR ELIGIBLE","NOT ELIGIBLE")</f>
        <v>NOT ELIGIBLE</v>
      </c>
      <c r="G62" t="s">
        <v>16</v>
      </c>
      <c r="H62" t="s">
        <v>329</v>
      </c>
      <c r="I62" t="s">
        <v>338</v>
      </c>
      <c r="J62" s="1">
        <v>46181</v>
      </c>
      <c r="K62" s="1">
        <v>46188</v>
      </c>
      <c r="L62" t="s">
        <v>327</v>
      </c>
      <c r="M62" t="s">
        <v>330</v>
      </c>
      <c r="N62">
        <v>39523</v>
      </c>
      <c r="O62" t="str">
        <f>IF(OR(Table1_1[[#This Row],[Treatment Cost]]&gt;=20000,Table1_1[[#Headers],[Room Type]]="ICU"),"HIGH COST","NORMAL COST")</f>
        <v>HIGH COST</v>
      </c>
      <c r="P62" t="s">
        <v>331</v>
      </c>
      <c r="Q62" t="s">
        <v>23</v>
      </c>
    </row>
    <row r="63" spans="1:17" x14ac:dyDescent="0.35">
      <c r="A63" t="s">
        <v>228</v>
      </c>
      <c r="B63" t="s">
        <v>341</v>
      </c>
      <c r="C63" t="s">
        <v>19</v>
      </c>
      <c r="D63">
        <v>62</v>
      </c>
      <c r="E63" t="str">
        <f>IF(Table1_1[[#This Row],[Age]]&lt;=18,"CHILD",IF(Table1_1[[#This Row],[Age]]&lt;59,"ADULT","SENIOR"))</f>
        <v>SENIOR</v>
      </c>
      <c r="F63" t="str">
        <f>IF(AND(Table1_1[[#This Row],[Age]]&gt;=60,Table1_1[[#This Row],[Insurance Status]]="INSURED"),"SENIOR ELIGIBLE","NOT ELIGIBLE")</f>
        <v>SENIOR ELIGIBLE</v>
      </c>
      <c r="G63" t="s">
        <v>22</v>
      </c>
      <c r="H63" t="s">
        <v>319</v>
      </c>
      <c r="I63" t="s">
        <v>320</v>
      </c>
      <c r="J63" s="1">
        <v>46052</v>
      </c>
      <c r="K63" s="1">
        <v>46053</v>
      </c>
      <c r="L63" t="s">
        <v>339</v>
      </c>
      <c r="M63" t="s">
        <v>330</v>
      </c>
      <c r="N63">
        <v>39402</v>
      </c>
      <c r="O63" t="str">
        <f>IF(OR(Table1_1[[#This Row],[Treatment Cost]]&gt;=20000,Table1_1[[#Headers],[Room Type]]="ICU"),"HIGH COST","NORMAL COST")</f>
        <v>HIGH COST</v>
      </c>
      <c r="P63" t="s">
        <v>331</v>
      </c>
      <c r="Q63" t="s">
        <v>333</v>
      </c>
    </row>
    <row r="64" spans="1:17" x14ac:dyDescent="0.35">
      <c r="A64" t="s">
        <v>76</v>
      </c>
      <c r="B64" t="s">
        <v>341</v>
      </c>
      <c r="C64" t="s">
        <v>19</v>
      </c>
      <c r="D64">
        <v>85</v>
      </c>
      <c r="E64" t="str">
        <f>IF(Table1_1[[#This Row],[Age]]&lt;=18,"CHILD",IF(Table1_1[[#This Row],[Age]]&lt;59,"ADULT","SENIOR"))</f>
        <v>SENIOR</v>
      </c>
      <c r="F64" t="str">
        <f>IF(AND(Table1_1[[#This Row],[Age]]&gt;=60,Table1_1[[#This Row],[Insurance Status]]="INSURED"),"SENIOR ELIGIBLE","NOT ELIGIBLE")</f>
        <v>NOT ELIGIBLE</v>
      </c>
      <c r="G64" t="s">
        <v>22</v>
      </c>
      <c r="H64" t="s">
        <v>319</v>
      </c>
      <c r="I64" t="s">
        <v>338</v>
      </c>
      <c r="J64" s="1">
        <v>46044</v>
      </c>
      <c r="K64" s="1">
        <v>46048</v>
      </c>
      <c r="L64" t="s">
        <v>339</v>
      </c>
      <c r="M64" t="s">
        <v>330</v>
      </c>
      <c r="N64">
        <v>38993</v>
      </c>
      <c r="O64" t="str">
        <f>IF(OR(Table1_1[[#This Row],[Treatment Cost]]&gt;=20000,Table1_1[[#Headers],[Room Type]]="ICU"),"HIGH COST","NORMAL COST")</f>
        <v>HIGH COST</v>
      </c>
      <c r="P64" t="s">
        <v>322</v>
      </c>
      <c r="Q64" t="s">
        <v>23</v>
      </c>
    </row>
    <row r="65" spans="1:17" x14ac:dyDescent="0.35">
      <c r="A65" t="s">
        <v>33</v>
      </c>
      <c r="B65" t="s">
        <v>340</v>
      </c>
      <c r="C65" t="s">
        <v>19</v>
      </c>
      <c r="D65">
        <v>32</v>
      </c>
      <c r="E65" t="str">
        <f>IF(Table1_1[[#This Row],[Age]]&lt;=18,"CHILD",IF(Table1_1[[#This Row],[Age]]&lt;59,"ADULT","SENIOR"))</f>
        <v>ADULT</v>
      </c>
      <c r="F65" t="str">
        <f>IF(AND(Table1_1[[#This Row],[Age]]&gt;=60,Table1_1[[#This Row],[Insurance Status]]="INSURED"),"SENIOR ELIGIBLE","NOT ELIGIBLE")</f>
        <v>NOT ELIGIBLE</v>
      </c>
      <c r="G65" t="s">
        <v>20</v>
      </c>
      <c r="H65" t="s">
        <v>342</v>
      </c>
      <c r="I65" t="s">
        <v>338</v>
      </c>
      <c r="J65" s="1">
        <v>46159</v>
      </c>
      <c r="K65" s="1">
        <v>46165</v>
      </c>
      <c r="L65" t="s">
        <v>17</v>
      </c>
      <c r="M65" t="s">
        <v>321</v>
      </c>
      <c r="N65">
        <v>38827</v>
      </c>
      <c r="O65" t="str">
        <f>IF(OR(Table1_1[[#This Row],[Treatment Cost]]&gt;=20000,Table1_1[[#Headers],[Room Type]]="ICU"),"HIGH COST","NORMAL COST")</f>
        <v>HIGH COST</v>
      </c>
      <c r="P65" t="s">
        <v>322</v>
      </c>
      <c r="Q65" t="s">
        <v>333</v>
      </c>
    </row>
    <row r="66" spans="1:17" x14ac:dyDescent="0.35">
      <c r="A66" t="s">
        <v>284</v>
      </c>
      <c r="B66" t="s">
        <v>318</v>
      </c>
      <c r="C66" t="s">
        <v>19</v>
      </c>
      <c r="D66">
        <v>27</v>
      </c>
      <c r="E66" t="str">
        <f>IF(Table1_1[[#This Row],[Age]]&lt;=18,"CHILD",IF(Table1_1[[#This Row],[Age]]&lt;59,"ADULT","SENIOR"))</f>
        <v>ADULT</v>
      </c>
      <c r="F66" t="str">
        <f>IF(AND(Table1_1[[#This Row],[Age]]&gt;=60,Table1_1[[#This Row],[Insurance Status]]="INSURED"),"SENIOR ELIGIBLE","NOT ELIGIBLE")</f>
        <v>NOT ELIGIBLE</v>
      </c>
      <c r="G66" t="s">
        <v>20</v>
      </c>
      <c r="H66" t="s">
        <v>319</v>
      </c>
      <c r="I66" t="s">
        <v>326</v>
      </c>
      <c r="J66" s="1">
        <v>46149</v>
      </c>
      <c r="K66" s="1">
        <v>46152</v>
      </c>
      <c r="L66" t="s">
        <v>17</v>
      </c>
      <c r="M66" t="s">
        <v>328</v>
      </c>
      <c r="N66">
        <v>38721</v>
      </c>
      <c r="O66" t="str">
        <f>IF(OR(Table1_1[[#This Row],[Treatment Cost]]&gt;=20000,Table1_1[[#Headers],[Room Type]]="ICU"),"HIGH COST","NORMAL COST")</f>
        <v>HIGH COST</v>
      </c>
      <c r="P66" t="s">
        <v>322</v>
      </c>
      <c r="Q66" t="s">
        <v>23</v>
      </c>
    </row>
    <row r="67" spans="1:17" x14ac:dyDescent="0.35">
      <c r="A67" t="s">
        <v>195</v>
      </c>
      <c r="B67" t="s">
        <v>341</v>
      </c>
      <c r="C67" t="s">
        <v>15</v>
      </c>
      <c r="D67">
        <v>63</v>
      </c>
      <c r="E67" t="str">
        <f>IF(Table1_1[[#This Row],[Age]]&lt;=18,"CHILD",IF(Table1_1[[#This Row],[Age]]&lt;59,"ADULT","SENIOR"))</f>
        <v>SENIOR</v>
      </c>
      <c r="F67" t="str">
        <f>IF(AND(Table1_1[[#This Row],[Age]]&gt;=60,Table1_1[[#This Row],[Insurance Status]]="INSURED"),"SENIOR ELIGIBLE","NOT ELIGIBLE")</f>
        <v>SENIOR ELIGIBLE</v>
      </c>
      <c r="G67" t="s">
        <v>20</v>
      </c>
      <c r="H67" t="s">
        <v>325</v>
      </c>
      <c r="I67" t="s">
        <v>338</v>
      </c>
      <c r="J67" s="1">
        <v>46148</v>
      </c>
      <c r="K67" s="1">
        <v>46152</v>
      </c>
      <c r="L67" t="s">
        <v>339</v>
      </c>
      <c r="M67" t="s">
        <v>321</v>
      </c>
      <c r="N67">
        <v>38558</v>
      </c>
      <c r="O67" t="str">
        <f>IF(OR(Table1_1[[#This Row],[Treatment Cost]]&gt;=20000,Table1_1[[#Headers],[Room Type]]="ICU"),"HIGH COST","NORMAL COST")</f>
        <v>HIGH COST</v>
      </c>
      <c r="P67" t="s">
        <v>331</v>
      </c>
      <c r="Q67" t="s">
        <v>23</v>
      </c>
    </row>
    <row r="68" spans="1:17" x14ac:dyDescent="0.35">
      <c r="A68" t="s">
        <v>86</v>
      </c>
      <c r="B68" t="s">
        <v>334</v>
      </c>
      <c r="C68" t="s">
        <v>19</v>
      </c>
      <c r="D68">
        <v>43</v>
      </c>
      <c r="E68" t="str">
        <f>IF(Table1_1[[#This Row],[Age]]&lt;=18,"CHILD",IF(Table1_1[[#This Row],[Age]]&lt;59,"ADULT","SENIOR"))</f>
        <v>ADULT</v>
      </c>
      <c r="F68" t="str">
        <f>IF(AND(Table1_1[[#This Row],[Age]]&gt;=60,Table1_1[[#This Row],[Insurance Status]]="INSURED"),"SENIOR ELIGIBLE","NOT ELIGIBLE")</f>
        <v>NOT ELIGIBLE</v>
      </c>
      <c r="G68" t="s">
        <v>16</v>
      </c>
      <c r="H68" t="s">
        <v>329</v>
      </c>
      <c r="I68" t="s">
        <v>338</v>
      </c>
      <c r="J68" s="1">
        <v>46146</v>
      </c>
      <c r="K68" s="1">
        <v>46150</v>
      </c>
      <c r="L68" t="s">
        <v>332</v>
      </c>
      <c r="M68" t="s">
        <v>328</v>
      </c>
      <c r="N68">
        <v>38500</v>
      </c>
      <c r="O68" t="str">
        <f>IF(OR(Table1_1[[#This Row],[Treatment Cost]]&gt;=20000,Table1_1[[#Headers],[Room Type]]="ICU"),"HIGH COST","NORMAL COST")</f>
        <v>HIGH COST</v>
      </c>
      <c r="P68" t="s">
        <v>322</v>
      </c>
      <c r="Q68" t="s">
        <v>333</v>
      </c>
    </row>
    <row r="69" spans="1:17" x14ac:dyDescent="0.35">
      <c r="A69" t="s">
        <v>304</v>
      </c>
      <c r="B69" t="s">
        <v>340</v>
      </c>
      <c r="C69" t="s">
        <v>15</v>
      </c>
      <c r="D69">
        <v>61</v>
      </c>
      <c r="E69" t="str">
        <f>IF(Table1_1[[#This Row],[Age]]&lt;=18,"CHILD",IF(Table1_1[[#This Row],[Age]]&lt;59,"ADULT","SENIOR"))</f>
        <v>SENIOR</v>
      </c>
      <c r="F69" t="str">
        <f>IF(AND(Table1_1[[#This Row],[Age]]&gt;=60,Table1_1[[#This Row],[Insurance Status]]="INSURED"),"SENIOR ELIGIBLE","NOT ELIGIBLE")</f>
        <v>NOT ELIGIBLE</v>
      </c>
      <c r="G69" t="s">
        <v>16</v>
      </c>
      <c r="H69" t="s">
        <v>325</v>
      </c>
      <c r="I69" t="s">
        <v>336</v>
      </c>
      <c r="J69" s="1">
        <v>46118</v>
      </c>
      <c r="K69" s="1">
        <v>46121</v>
      </c>
      <c r="L69" t="s">
        <v>332</v>
      </c>
      <c r="M69" t="s">
        <v>335</v>
      </c>
      <c r="N69">
        <v>38375</v>
      </c>
      <c r="O69" t="str">
        <f>IF(OR(Table1_1[[#This Row],[Treatment Cost]]&gt;=20000,Table1_1[[#Headers],[Room Type]]="ICU"),"HIGH COST","NORMAL COST")</f>
        <v>HIGH COST</v>
      </c>
      <c r="P69" t="s">
        <v>322</v>
      </c>
      <c r="Q69" t="s">
        <v>23</v>
      </c>
    </row>
    <row r="70" spans="1:17" x14ac:dyDescent="0.35">
      <c r="A70" t="s">
        <v>45</v>
      </c>
      <c r="B70" t="s">
        <v>337</v>
      </c>
      <c r="C70" t="s">
        <v>15</v>
      </c>
      <c r="D70">
        <v>82</v>
      </c>
      <c r="E70" t="str">
        <f>IF(Table1_1[[#This Row],[Age]]&lt;=18,"CHILD",IF(Table1_1[[#This Row],[Age]]&lt;59,"ADULT","SENIOR"))</f>
        <v>SENIOR</v>
      </c>
      <c r="F70" t="str">
        <f>IF(AND(Table1_1[[#This Row],[Age]]&gt;=60,Table1_1[[#This Row],[Insurance Status]]="INSURED"),"SENIOR ELIGIBLE","NOT ELIGIBLE")</f>
        <v>SENIOR ELIGIBLE</v>
      </c>
      <c r="G70" t="s">
        <v>16</v>
      </c>
      <c r="H70" t="s">
        <v>319</v>
      </c>
      <c r="I70" t="s">
        <v>338</v>
      </c>
      <c r="J70" s="1">
        <v>46193</v>
      </c>
      <c r="K70" s="1">
        <v>46201</v>
      </c>
      <c r="L70" t="s">
        <v>327</v>
      </c>
      <c r="M70" t="s">
        <v>328</v>
      </c>
      <c r="N70">
        <v>38238</v>
      </c>
      <c r="O70" t="str">
        <f>IF(OR(Table1_1[[#This Row],[Treatment Cost]]&gt;=20000,Table1_1[[#Headers],[Room Type]]="ICU"),"HIGH COST","NORMAL COST")</f>
        <v>HIGH COST</v>
      </c>
      <c r="P70" t="s">
        <v>331</v>
      </c>
      <c r="Q70" t="s">
        <v>323</v>
      </c>
    </row>
    <row r="71" spans="1:17" x14ac:dyDescent="0.35">
      <c r="A71" t="s">
        <v>96</v>
      </c>
      <c r="B71" t="s">
        <v>340</v>
      </c>
      <c r="C71" t="s">
        <v>15</v>
      </c>
      <c r="D71">
        <v>28</v>
      </c>
      <c r="E71" t="str">
        <f>IF(Table1_1[[#This Row],[Age]]&lt;=18,"CHILD",IF(Table1_1[[#This Row],[Age]]&lt;59,"ADULT","SENIOR"))</f>
        <v>ADULT</v>
      </c>
      <c r="F71" t="str">
        <f>IF(AND(Table1_1[[#This Row],[Age]]&gt;=60,Table1_1[[#This Row],[Insurance Status]]="INSURED"),"SENIOR ELIGIBLE","NOT ELIGIBLE")</f>
        <v>NOT ELIGIBLE</v>
      </c>
      <c r="G71" t="s">
        <v>16</v>
      </c>
      <c r="H71" t="s">
        <v>342</v>
      </c>
      <c r="I71" t="s">
        <v>338</v>
      </c>
      <c r="J71" s="1">
        <v>46151</v>
      </c>
      <c r="K71" s="1">
        <v>46161</v>
      </c>
      <c r="L71" t="s">
        <v>17</v>
      </c>
      <c r="M71" t="s">
        <v>335</v>
      </c>
      <c r="N71">
        <v>38035</v>
      </c>
      <c r="O71" t="str">
        <f>IF(OR(Table1_1[[#This Row],[Treatment Cost]]&gt;=20000,Table1_1[[#Headers],[Room Type]]="ICU"),"HIGH COST","NORMAL COST")</f>
        <v>HIGH COST</v>
      </c>
      <c r="P71" t="s">
        <v>331</v>
      </c>
      <c r="Q71" t="s">
        <v>333</v>
      </c>
    </row>
    <row r="72" spans="1:17" x14ac:dyDescent="0.35">
      <c r="A72" t="s">
        <v>128</v>
      </c>
      <c r="B72" t="s">
        <v>334</v>
      </c>
      <c r="C72" t="s">
        <v>15</v>
      </c>
      <c r="D72">
        <v>26</v>
      </c>
      <c r="E72" t="str">
        <f>IF(Table1_1[[#This Row],[Age]]&lt;=18,"CHILD",IF(Table1_1[[#This Row],[Age]]&lt;59,"ADULT","SENIOR"))</f>
        <v>ADULT</v>
      </c>
      <c r="F72" t="str">
        <f>IF(AND(Table1_1[[#This Row],[Age]]&gt;=60,Table1_1[[#This Row],[Insurance Status]]="INSURED"),"SENIOR ELIGIBLE","NOT ELIGIBLE")</f>
        <v>NOT ELIGIBLE</v>
      </c>
      <c r="G72" t="s">
        <v>26</v>
      </c>
      <c r="H72" t="s">
        <v>329</v>
      </c>
      <c r="I72" t="s">
        <v>320</v>
      </c>
      <c r="J72" s="1">
        <v>46126</v>
      </c>
      <c r="K72" s="1">
        <v>46131</v>
      </c>
      <c r="L72" t="s">
        <v>327</v>
      </c>
      <c r="M72" t="s">
        <v>330</v>
      </c>
      <c r="N72">
        <v>37712</v>
      </c>
      <c r="O72" t="str">
        <f>IF(OR(Table1_1[[#This Row],[Treatment Cost]]&gt;=20000,Table1_1[[#Headers],[Room Type]]="ICU"),"HIGH COST","NORMAL COST")</f>
        <v>HIGH COST</v>
      </c>
      <c r="P72" t="s">
        <v>322</v>
      </c>
      <c r="Q72" t="s">
        <v>333</v>
      </c>
    </row>
    <row r="73" spans="1:17" x14ac:dyDescent="0.35">
      <c r="A73" t="s">
        <v>105</v>
      </c>
      <c r="B73" t="s">
        <v>318</v>
      </c>
      <c r="C73" t="s">
        <v>19</v>
      </c>
      <c r="D73">
        <v>81</v>
      </c>
      <c r="E73" t="str">
        <f>IF(Table1_1[[#This Row],[Age]]&lt;=18,"CHILD",IF(Table1_1[[#This Row],[Age]]&lt;59,"ADULT","SENIOR"))</f>
        <v>SENIOR</v>
      </c>
      <c r="F73" t="str">
        <f>IF(AND(Table1_1[[#This Row],[Age]]&gt;=60,Table1_1[[#This Row],[Insurance Status]]="INSURED"),"SENIOR ELIGIBLE","NOT ELIGIBLE")</f>
        <v>SENIOR ELIGIBLE</v>
      </c>
      <c r="G73" t="s">
        <v>20</v>
      </c>
      <c r="H73" t="s">
        <v>342</v>
      </c>
      <c r="I73" t="s">
        <v>336</v>
      </c>
      <c r="J73" s="1">
        <v>46100</v>
      </c>
      <c r="K73" s="1">
        <v>46110</v>
      </c>
      <c r="L73" t="s">
        <v>327</v>
      </c>
      <c r="M73" t="s">
        <v>330</v>
      </c>
      <c r="N73">
        <v>37660</v>
      </c>
      <c r="O73" t="str">
        <f>IF(OR(Table1_1[[#This Row],[Treatment Cost]]&gt;=20000,Table1_1[[#Headers],[Room Type]]="ICU"),"HIGH COST","NORMAL COST")</f>
        <v>HIGH COST</v>
      </c>
      <c r="P73" t="s">
        <v>331</v>
      </c>
      <c r="Q73" t="s">
        <v>323</v>
      </c>
    </row>
    <row r="74" spans="1:17" x14ac:dyDescent="0.35">
      <c r="A74" t="s">
        <v>61</v>
      </c>
      <c r="B74" t="s">
        <v>341</v>
      </c>
      <c r="C74" t="s">
        <v>15</v>
      </c>
      <c r="D74">
        <v>61</v>
      </c>
      <c r="E74" t="str">
        <f>IF(Table1_1[[#This Row],[Age]]&lt;=18,"CHILD",IF(Table1_1[[#This Row],[Age]]&lt;59,"ADULT","SENIOR"))</f>
        <v>SENIOR</v>
      </c>
      <c r="F74" t="str">
        <f>IF(AND(Table1_1[[#This Row],[Age]]&gt;=60,Table1_1[[#This Row],[Insurance Status]]="INSURED"),"SENIOR ELIGIBLE","NOT ELIGIBLE")</f>
        <v>NOT ELIGIBLE</v>
      </c>
      <c r="G74" t="s">
        <v>26</v>
      </c>
      <c r="H74" t="s">
        <v>325</v>
      </c>
      <c r="I74" t="s">
        <v>326</v>
      </c>
      <c r="J74" s="1">
        <v>46064</v>
      </c>
      <c r="K74" s="1">
        <v>46071</v>
      </c>
      <c r="L74" t="s">
        <v>17</v>
      </c>
      <c r="M74" t="s">
        <v>328</v>
      </c>
      <c r="N74">
        <v>37538</v>
      </c>
      <c r="O74" t="str">
        <f>IF(OR(Table1_1[[#This Row],[Treatment Cost]]&gt;=20000,Table1_1[[#Headers],[Room Type]]="ICU"),"HIGH COST","NORMAL COST")</f>
        <v>HIGH COST</v>
      </c>
      <c r="P74" t="s">
        <v>322</v>
      </c>
      <c r="Q74" t="s">
        <v>23</v>
      </c>
    </row>
    <row r="75" spans="1:17" x14ac:dyDescent="0.35">
      <c r="A75" t="s">
        <v>299</v>
      </c>
      <c r="B75" t="s">
        <v>340</v>
      </c>
      <c r="C75" t="s">
        <v>15</v>
      </c>
      <c r="D75">
        <v>34</v>
      </c>
      <c r="E75" t="str">
        <f>IF(Table1_1[[#This Row],[Age]]&lt;=18,"CHILD",IF(Table1_1[[#This Row],[Age]]&lt;59,"ADULT","SENIOR"))</f>
        <v>ADULT</v>
      </c>
      <c r="F75" t="str">
        <f>IF(AND(Table1_1[[#This Row],[Age]]&gt;=60,Table1_1[[#This Row],[Insurance Status]]="INSURED"),"SENIOR ELIGIBLE","NOT ELIGIBLE")</f>
        <v>NOT ELIGIBLE</v>
      </c>
      <c r="G75" t="s">
        <v>20</v>
      </c>
      <c r="H75" t="s">
        <v>342</v>
      </c>
      <c r="I75" t="s">
        <v>326</v>
      </c>
      <c r="J75" s="1">
        <v>46106</v>
      </c>
      <c r="K75" s="1">
        <v>46107</v>
      </c>
      <c r="L75" t="s">
        <v>332</v>
      </c>
      <c r="M75" t="s">
        <v>330</v>
      </c>
      <c r="N75">
        <v>37130</v>
      </c>
      <c r="O75" t="str">
        <f>IF(OR(Table1_1[[#This Row],[Treatment Cost]]&gt;=20000,Table1_1[[#Headers],[Room Type]]="ICU"),"HIGH COST","NORMAL COST")</f>
        <v>HIGH COST</v>
      </c>
      <c r="P75" t="s">
        <v>331</v>
      </c>
      <c r="Q75" t="s">
        <v>323</v>
      </c>
    </row>
    <row r="76" spans="1:17" x14ac:dyDescent="0.35">
      <c r="A76" t="s">
        <v>191</v>
      </c>
      <c r="B76" t="s">
        <v>337</v>
      </c>
      <c r="C76" t="s">
        <v>19</v>
      </c>
      <c r="D76">
        <v>52</v>
      </c>
      <c r="E76" t="str">
        <f>IF(Table1_1[[#This Row],[Age]]&lt;=18,"CHILD",IF(Table1_1[[#This Row],[Age]]&lt;59,"ADULT","SENIOR"))</f>
        <v>ADULT</v>
      </c>
      <c r="F76" t="str">
        <f>IF(AND(Table1_1[[#This Row],[Age]]&gt;=60,Table1_1[[#This Row],[Insurance Status]]="INSURED"),"SENIOR ELIGIBLE","NOT ELIGIBLE")</f>
        <v>NOT ELIGIBLE</v>
      </c>
      <c r="G76" t="s">
        <v>16</v>
      </c>
      <c r="H76" t="s">
        <v>325</v>
      </c>
      <c r="I76" t="s">
        <v>338</v>
      </c>
      <c r="J76" s="1">
        <v>46172</v>
      </c>
      <c r="K76" s="1">
        <v>46174</v>
      </c>
      <c r="L76" t="s">
        <v>327</v>
      </c>
      <c r="M76" t="s">
        <v>330</v>
      </c>
      <c r="N76">
        <v>36977</v>
      </c>
      <c r="O76" t="str">
        <f>IF(OR(Table1_1[[#This Row],[Treatment Cost]]&gt;=20000,Table1_1[[#Headers],[Room Type]]="ICU"),"HIGH COST","NORMAL COST")</f>
        <v>HIGH COST</v>
      </c>
      <c r="P76" t="s">
        <v>331</v>
      </c>
      <c r="Q76" t="s">
        <v>23</v>
      </c>
    </row>
    <row r="77" spans="1:17" x14ac:dyDescent="0.35">
      <c r="A77" t="s">
        <v>154</v>
      </c>
      <c r="B77" t="s">
        <v>341</v>
      </c>
      <c r="C77" t="s">
        <v>19</v>
      </c>
      <c r="D77">
        <v>72</v>
      </c>
      <c r="E77" t="str">
        <f>IF(Table1_1[[#This Row],[Age]]&lt;=18,"CHILD",IF(Table1_1[[#This Row],[Age]]&lt;59,"ADULT","SENIOR"))</f>
        <v>SENIOR</v>
      </c>
      <c r="F77" t="str">
        <f>IF(AND(Table1_1[[#This Row],[Age]]&gt;=60,Table1_1[[#This Row],[Insurance Status]]="INSURED"),"SENIOR ELIGIBLE","NOT ELIGIBLE")</f>
        <v>NOT ELIGIBLE</v>
      </c>
      <c r="G77" t="s">
        <v>22</v>
      </c>
      <c r="H77" t="s">
        <v>342</v>
      </c>
      <c r="I77" t="s">
        <v>320</v>
      </c>
      <c r="J77" s="1">
        <v>46067</v>
      </c>
      <c r="K77" s="1">
        <v>46073</v>
      </c>
      <c r="L77" t="s">
        <v>332</v>
      </c>
      <c r="M77" t="s">
        <v>330</v>
      </c>
      <c r="N77">
        <v>36780</v>
      </c>
      <c r="O77" t="str">
        <f>IF(OR(Table1_1[[#This Row],[Treatment Cost]]&gt;=20000,Table1_1[[#Headers],[Room Type]]="ICU"),"HIGH COST","NORMAL COST")</f>
        <v>HIGH COST</v>
      </c>
      <c r="P77" t="s">
        <v>322</v>
      </c>
      <c r="Q77" t="s">
        <v>323</v>
      </c>
    </row>
    <row r="78" spans="1:17" x14ac:dyDescent="0.35">
      <c r="A78" t="s">
        <v>50</v>
      </c>
      <c r="B78" t="s">
        <v>341</v>
      </c>
      <c r="C78" t="s">
        <v>19</v>
      </c>
      <c r="D78">
        <v>81</v>
      </c>
      <c r="E78" t="str">
        <f>IF(Table1_1[[#This Row],[Age]]&lt;=18,"CHILD",IF(Table1_1[[#This Row],[Age]]&lt;59,"ADULT","SENIOR"))</f>
        <v>SENIOR</v>
      </c>
      <c r="F78" t="str">
        <f>IF(AND(Table1_1[[#This Row],[Age]]&gt;=60,Table1_1[[#This Row],[Insurance Status]]="INSURED"),"SENIOR ELIGIBLE","NOT ELIGIBLE")</f>
        <v>NOT ELIGIBLE</v>
      </c>
      <c r="G78" t="s">
        <v>20</v>
      </c>
      <c r="H78" t="s">
        <v>319</v>
      </c>
      <c r="I78" t="s">
        <v>336</v>
      </c>
      <c r="J78" s="1">
        <v>46056</v>
      </c>
      <c r="K78" s="1">
        <v>46058</v>
      </c>
      <c r="L78" t="s">
        <v>17</v>
      </c>
      <c r="M78" t="s">
        <v>321</v>
      </c>
      <c r="N78">
        <v>36731</v>
      </c>
      <c r="O78" t="str">
        <f>IF(OR(Table1_1[[#This Row],[Treatment Cost]]&gt;=20000,Table1_1[[#Headers],[Room Type]]="ICU"),"HIGH COST","NORMAL COST")</f>
        <v>HIGH COST</v>
      </c>
      <c r="P78" t="s">
        <v>322</v>
      </c>
      <c r="Q78" t="s">
        <v>323</v>
      </c>
    </row>
    <row r="79" spans="1:17" x14ac:dyDescent="0.35">
      <c r="A79" t="s">
        <v>75</v>
      </c>
      <c r="B79" t="s">
        <v>337</v>
      </c>
      <c r="C79" t="s">
        <v>15</v>
      </c>
      <c r="D79">
        <v>75</v>
      </c>
      <c r="E79" t="str">
        <f>IF(Table1_1[[#This Row],[Age]]&lt;=18,"CHILD",IF(Table1_1[[#This Row],[Age]]&lt;59,"ADULT","SENIOR"))</f>
        <v>SENIOR</v>
      </c>
      <c r="F79" t="str">
        <f>IF(AND(Table1_1[[#This Row],[Age]]&gt;=60,Table1_1[[#This Row],[Insurance Status]]="INSURED"),"SENIOR ELIGIBLE","NOT ELIGIBLE")</f>
        <v>SENIOR ELIGIBLE</v>
      </c>
      <c r="G79" t="s">
        <v>20</v>
      </c>
      <c r="H79" t="s">
        <v>325</v>
      </c>
      <c r="I79" t="s">
        <v>336</v>
      </c>
      <c r="J79" s="1">
        <v>46066</v>
      </c>
      <c r="K79" s="1">
        <v>46068</v>
      </c>
      <c r="L79" t="s">
        <v>339</v>
      </c>
      <c r="M79" t="s">
        <v>330</v>
      </c>
      <c r="N79">
        <v>36685</v>
      </c>
      <c r="O79" t="str">
        <f>IF(OR(Table1_1[[#This Row],[Treatment Cost]]&gt;=20000,Table1_1[[#Headers],[Room Type]]="ICU"),"HIGH COST","NORMAL COST")</f>
        <v>HIGH COST</v>
      </c>
      <c r="P79" t="s">
        <v>331</v>
      </c>
      <c r="Q79" t="s">
        <v>23</v>
      </c>
    </row>
    <row r="80" spans="1:17" x14ac:dyDescent="0.35">
      <c r="A80" t="s">
        <v>205</v>
      </c>
      <c r="B80" t="s">
        <v>340</v>
      </c>
      <c r="C80" t="s">
        <v>19</v>
      </c>
      <c r="D80">
        <v>72</v>
      </c>
      <c r="E80" t="str">
        <f>IF(Table1_1[[#This Row],[Age]]&lt;=18,"CHILD",IF(Table1_1[[#This Row],[Age]]&lt;59,"ADULT","SENIOR"))</f>
        <v>SENIOR</v>
      </c>
      <c r="F80" t="str">
        <f>IF(AND(Table1_1[[#This Row],[Age]]&gt;=60,Table1_1[[#This Row],[Insurance Status]]="INSURED"),"SENIOR ELIGIBLE","NOT ELIGIBLE")</f>
        <v>NOT ELIGIBLE</v>
      </c>
      <c r="G80" t="s">
        <v>16</v>
      </c>
      <c r="H80" t="s">
        <v>319</v>
      </c>
      <c r="I80" t="s">
        <v>338</v>
      </c>
      <c r="J80" s="1">
        <v>46163</v>
      </c>
      <c r="K80" s="1">
        <v>46168</v>
      </c>
      <c r="L80" t="s">
        <v>339</v>
      </c>
      <c r="M80" t="s">
        <v>335</v>
      </c>
      <c r="N80">
        <v>36359</v>
      </c>
      <c r="O80" t="str">
        <f>IF(OR(Table1_1[[#This Row],[Treatment Cost]]&gt;=20000,Table1_1[[#Headers],[Room Type]]="ICU"),"HIGH COST","NORMAL COST")</f>
        <v>HIGH COST</v>
      </c>
      <c r="P80" t="s">
        <v>322</v>
      </c>
      <c r="Q80" t="s">
        <v>23</v>
      </c>
    </row>
    <row r="81" spans="1:17" x14ac:dyDescent="0.35">
      <c r="A81" t="s">
        <v>219</v>
      </c>
      <c r="B81" t="s">
        <v>340</v>
      </c>
      <c r="C81" t="s">
        <v>15</v>
      </c>
      <c r="D81">
        <v>72</v>
      </c>
      <c r="E81" t="str">
        <f>IF(Table1_1[[#This Row],[Age]]&lt;=18,"CHILD",IF(Table1_1[[#This Row],[Age]]&lt;59,"ADULT","SENIOR"))</f>
        <v>SENIOR</v>
      </c>
      <c r="F81" t="str">
        <f>IF(AND(Table1_1[[#This Row],[Age]]&gt;=60,Table1_1[[#This Row],[Insurance Status]]="INSURED"),"SENIOR ELIGIBLE","NOT ELIGIBLE")</f>
        <v>NOT ELIGIBLE</v>
      </c>
      <c r="G81" t="s">
        <v>26</v>
      </c>
      <c r="H81" t="s">
        <v>342</v>
      </c>
      <c r="I81" t="s">
        <v>336</v>
      </c>
      <c r="J81" s="1">
        <v>46181</v>
      </c>
      <c r="K81" s="1">
        <v>46190</v>
      </c>
      <c r="L81" t="s">
        <v>339</v>
      </c>
      <c r="M81" t="s">
        <v>328</v>
      </c>
      <c r="N81">
        <v>36255</v>
      </c>
      <c r="O81" t="str">
        <f>IF(OR(Table1_1[[#This Row],[Treatment Cost]]&gt;=20000,Table1_1[[#Headers],[Room Type]]="ICU"),"HIGH COST","NORMAL COST")</f>
        <v>HIGH COST</v>
      </c>
      <c r="P81" t="s">
        <v>322</v>
      </c>
      <c r="Q81" t="s">
        <v>333</v>
      </c>
    </row>
    <row r="82" spans="1:17" x14ac:dyDescent="0.35">
      <c r="A82" t="s">
        <v>292</v>
      </c>
      <c r="B82" t="s">
        <v>334</v>
      </c>
      <c r="C82" t="s">
        <v>19</v>
      </c>
      <c r="D82">
        <v>51</v>
      </c>
      <c r="E82" t="str">
        <f>IF(Table1_1[[#This Row],[Age]]&lt;=18,"CHILD",IF(Table1_1[[#This Row],[Age]]&lt;59,"ADULT","SENIOR"))</f>
        <v>ADULT</v>
      </c>
      <c r="F82" t="str">
        <f>IF(AND(Table1_1[[#This Row],[Age]]&gt;=60,Table1_1[[#This Row],[Insurance Status]]="INSURED"),"SENIOR ELIGIBLE","NOT ELIGIBLE")</f>
        <v>NOT ELIGIBLE</v>
      </c>
      <c r="G82" t="s">
        <v>22</v>
      </c>
      <c r="H82" t="s">
        <v>342</v>
      </c>
      <c r="I82" t="s">
        <v>320</v>
      </c>
      <c r="J82" s="1">
        <v>46128</v>
      </c>
      <c r="K82" s="1">
        <v>46133</v>
      </c>
      <c r="L82" t="s">
        <v>327</v>
      </c>
      <c r="M82" t="s">
        <v>330</v>
      </c>
      <c r="N82">
        <v>36070</v>
      </c>
      <c r="O82" t="str">
        <f>IF(OR(Table1_1[[#This Row],[Treatment Cost]]&gt;=20000,Table1_1[[#Headers],[Room Type]]="ICU"),"HIGH COST","NORMAL COST")</f>
        <v>HIGH COST</v>
      </c>
      <c r="P82" t="s">
        <v>331</v>
      </c>
      <c r="Q82" t="s">
        <v>333</v>
      </c>
    </row>
    <row r="83" spans="1:17" x14ac:dyDescent="0.35">
      <c r="A83" t="s">
        <v>215</v>
      </c>
      <c r="B83" t="s">
        <v>318</v>
      </c>
      <c r="C83" t="s">
        <v>15</v>
      </c>
      <c r="D83">
        <v>35</v>
      </c>
      <c r="E83" t="str">
        <f>IF(Table1_1[[#This Row],[Age]]&lt;=18,"CHILD",IF(Table1_1[[#This Row],[Age]]&lt;59,"ADULT","SENIOR"))</f>
        <v>ADULT</v>
      </c>
      <c r="F83" t="str">
        <f>IF(AND(Table1_1[[#This Row],[Age]]&gt;=60,Table1_1[[#This Row],[Insurance Status]]="INSURED"),"SENIOR ELIGIBLE","NOT ELIGIBLE")</f>
        <v>NOT ELIGIBLE</v>
      </c>
      <c r="G83" t="s">
        <v>22</v>
      </c>
      <c r="H83" t="s">
        <v>329</v>
      </c>
      <c r="I83" t="s">
        <v>338</v>
      </c>
      <c r="J83" s="1">
        <v>46101</v>
      </c>
      <c r="K83" s="1">
        <v>46111</v>
      </c>
      <c r="L83" t="s">
        <v>339</v>
      </c>
      <c r="M83" t="s">
        <v>328</v>
      </c>
      <c r="N83">
        <v>36040</v>
      </c>
      <c r="O83" t="str">
        <f>IF(OR(Table1_1[[#This Row],[Treatment Cost]]&gt;=20000,Table1_1[[#Headers],[Room Type]]="ICU"),"HIGH COST","NORMAL COST")</f>
        <v>HIGH COST</v>
      </c>
      <c r="P83" t="s">
        <v>322</v>
      </c>
      <c r="Q83" t="s">
        <v>323</v>
      </c>
    </row>
    <row r="84" spans="1:17" x14ac:dyDescent="0.35">
      <c r="A84" t="s">
        <v>47</v>
      </c>
      <c r="B84" t="s">
        <v>337</v>
      </c>
      <c r="C84" t="s">
        <v>15</v>
      </c>
      <c r="D84">
        <v>71</v>
      </c>
      <c r="E84" t="str">
        <f>IF(Table1_1[[#This Row],[Age]]&lt;=18,"CHILD",IF(Table1_1[[#This Row],[Age]]&lt;59,"ADULT","SENIOR"))</f>
        <v>SENIOR</v>
      </c>
      <c r="F84" t="str">
        <f>IF(AND(Table1_1[[#This Row],[Age]]&gt;=60,Table1_1[[#This Row],[Insurance Status]]="INSURED"),"SENIOR ELIGIBLE","NOT ELIGIBLE")</f>
        <v>NOT ELIGIBLE</v>
      </c>
      <c r="G84" t="s">
        <v>20</v>
      </c>
      <c r="H84" t="s">
        <v>325</v>
      </c>
      <c r="I84" t="s">
        <v>320</v>
      </c>
      <c r="J84" s="1">
        <v>46114</v>
      </c>
      <c r="K84" s="1">
        <v>46124</v>
      </c>
      <c r="L84" t="s">
        <v>332</v>
      </c>
      <c r="M84" t="s">
        <v>328</v>
      </c>
      <c r="N84">
        <v>36014</v>
      </c>
      <c r="O84" t="str">
        <f>IF(OR(Table1_1[[#This Row],[Treatment Cost]]&gt;=20000,Table1_1[[#Headers],[Room Type]]="ICU"),"HIGH COST","NORMAL COST")</f>
        <v>HIGH COST</v>
      </c>
      <c r="P84" t="s">
        <v>322</v>
      </c>
      <c r="Q84" t="s">
        <v>333</v>
      </c>
    </row>
    <row r="85" spans="1:17" x14ac:dyDescent="0.35">
      <c r="A85" t="s">
        <v>264</v>
      </c>
      <c r="B85" t="s">
        <v>337</v>
      </c>
      <c r="C85" t="s">
        <v>19</v>
      </c>
      <c r="D85">
        <v>34</v>
      </c>
      <c r="E85" t="str">
        <f>IF(Table1_1[[#This Row],[Age]]&lt;=18,"CHILD",IF(Table1_1[[#This Row],[Age]]&lt;59,"ADULT","SENIOR"))</f>
        <v>ADULT</v>
      </c>
      <c r="F85" t="str">
        <f>IF(AND(Table1_1[[#This Row],[Age]]&gt;=60,Table1_1[[#This Row],[Insurance Status]]="INSURED"),"SENIOR ELIGIBLE","NOT ELIGIBLE")</f>
        <v>NOT ELIGIBLE</v>
      </c>
      <c r="G85" t="s">
        <v>22</v>
      </c>
      <c r="H85" t="s">
        <v>319</v>
      </c>
      <c r="I85" t="s">
        <v>338</v>
      </c>
      <c r="J85" s="1">
        <v>46044</v>
      </c>
      <c r="K85" s="1">
        <v>46048</v>
      </c>
      <c r="L85" t="s">
        <v>17</v>
      </c>
      <c r="M85" t="s">
        <v>321</v>
      </c>
      <c r="N85">
        <v>35996</v>
      </c>
      <c r="O85" t="str">
        <f>IF(OR(Table1_1[[#This Row],[Treatment Cost]]&gt;=20000,Table1_1[[#Headers],[Room Type]]="ICU"),"HIGH COST","NORMAL COST")</f>
        <v>HIGH COST</v>
      </c>
      <c r="P85" t="s">
        <v>331</v>
      </c>
      <c r="Q85" t="s">
        <v>333</v>
      </c>
    </row>
    <row r="86" spans="1:17" x14ac:dyDescent="0.35">
      <c r="A86" t="s">
        <v>178</v>
      </c>
      <c r="B86" t="s">
        <v>337</v>
      </c>
      <c r="C86" t="s">
        <v>19</v>
      </c>
      <c r="D86">
        <v>61</v>
      </c>
      <c r="E86" t="str">
        <f>IF(Table1_1[[#This Row],[Age]]&lt;=18,"CHILD",IF(Table1_1[[#This Row],[Age]]&lt;59,"ADULT","SENIOR"))</f>
        <v>SENIOR</v>
      </c>
      <c r="F86" t="str">
        <f>IF(AND(Table1_1[[#This Row],[Age]]&gt;=60,Table1_1[[#This Row],[Insurance Status]]="INSURED"),"SENIOR ELIGIBLE","NOT ELIGIBLE")</f>
        <v>SENIOR ELIGIBLE</v>
      </c>
      <c r="G86" t="s">
        <v>20</v>
      </c>
      <c r="H86" t="s">
        <v>342</v>
      </c>
      <c r="I86" t="s">
        <v>326</v>
      </c>
      <c r="J86" s="1">
        <v>46091</v>
      </c>
      <c r="K86" s="1">
        <v>46096</v>
      </c>
      <c r="L86" t="s">
        <v>332</v>
      </c>
      <c r="M86" t="s">
        <v>328</v>
      </c>
      <c r="N86">
        <v>35918</v>
      </c>
      <c r="O86" t="str">
        <f>IF(OR(Table1_1[[#This Row],[Treatment Cost]]&gt;=20000,Table1_1[[#Headers],[Room Type]]="ICU"),"HIGH COST","NORMAL COST")</f>
        <v>HIGH COST</v>
      </c>
      <c r="P86" t="s">
        <v>331</v>
      </c>
      <c r="Q86" t="s">
        <v>333</v>
      </c>
    </row>
    <row r="87" spans="1:17" x14ac:dyDescent="0.35">
      <c r="A87" t="s">
        <v>298</v>
      </c>
      <c r="B87" t="s">
        <v>318</v>
      </c>
      <c r="C87" t="s">
        <v>19</v>
      </c>
      <c r="D87">
        <v>36</v>
      </c>
      <c r="E87" t="str">
        <f>IF(Table1_1[[#This Row],[Age]]&lt;=18,"CHILD",IF(Table1_1[[#This Row],[Age]]&lt;59,"ADULT","SENIOR"))</f>
        <v>ADULT</v>
      </c>
      <c r="F87" t="str">
        <f>IF(AND(Table1_1[[#This Row],[Age]]&gt;=60,Table1_1[[#This Row],[Insurance Status]]="INSURED"),"SENIOR ELIGIBLE","NOT ELIGIBLE")</f>
        <v>NOT ELIGIBLE</v>
      </c>
      <c r="G87" t="s">
        <v>26</v>
      </c>
      <c r="H87" t="s">
        <v>342</v>
      </c>
      <c r="I87" t="s">
        <v>326</v>
      </c>
      <c r="J87" s="1">
        <v>46027</v>
      </c>
      <c r="K87" s="1">
        <v>46033</v>
      </c>
      <c r="L87" t="s">
        <v>332</v>
      </c>
      <c r="M87" t="s">
        <v>321</v>
      </c>
      <c r="N87">
        <v>35907</v>
      </c>
      <c r="O87" t="str">
        <f>IF(OR(Table1_1[[#This Row],[Treatment Cost]]&gt;=20000,Table1_1[[#Headers],[Room Type]]="ICU"),"HIGH COST","NORMAL COST")</f>
        <v>HIGH COST</v>
      </c>
      <c r="P87" t="s">
        <v>322</v>
      </c>
      <c r="Q87" t="s">
        <v>323</v>
      </c>
    </row>
    <row r="88" spans="1:17" x14ac:dyDescent="0.35">
      <c r="A88" t="s">
        <v>142</v>
      </c>
      <c r="B88" t="s">
        <v>324</v>
      </c>
      <c r="C88" t="s">
        <v>15</v>
      </c>
      <c r="D88">
        <v>29</v>
      </c>
      <c r="E88" t="str">
        <f>IF(Table1_1[[#This Row],[Age]]&lt;=18,"CHILD",IF(Table1_1[[#This Row],[Age]]&lt;59,"ADULT","SENIOR"))</f>
        <v>ADULT</v>
      </c>
      <c r="F88" t="str">
        <f>IF(AND(Table1_1[[#This Row],[Age]]&gt;=60,Table1_1[[#This Row],[Insurance Status]]="INSURED"),"SENIOR ELIGIBLE","NOT ELIGIBLE")</f>
        <v>NOT ELIGIBLE</v>
      </c>
      <c r="G88" t="s">
        <v>20</v>
      </c>
      <c r="H88" t="s">
        <v>342</v>
      </c>
      <c r="I88" t="s">
        <v>336</v>
      </c>
      <c r="J88" s="1">
        <v>46110</v>
      </c>
      <c r="K88" s="1">
        <v>46117</v>
      </c>
      <c r="L88" t="s">
        <v>332</v>
      </c>
      <c r="M88" t="s">
        <v>328</v>
      </c>
      <c r="N88">
        <v>35857</v>
      </c>
      <c r="O88" t="str">
        <f>IF(OR(Table1_1[[#This Row],[Treatment Cost]]&gt;=20000,Table1_1[[#Headers],[Room Type]]="ICU"),"HIGH COST","NORMAL COST")</f>
        <v>HIGH COST</v>
      </c>
      <c r="P88" t="s">
        <v>331</v>
      </c>
      <c r="Q88" t="s">
        <v>333</v>
      </c>
    </row>
    <row r="89" spans="1:17" x14ac:dyDescent="0.35">
      <c r="A89" t="s">
        <v>190</v>
      </c>
      <c r="B89" t="s">
        <v>334</v>
      </c>
      <c r="C89" t="s">
        <v>15</v>
      </c>
      <c r="D89">
        <v>78</v>
      </c>
      <c r="E89" t="str">
        <f>IF(Table1_1[[#This Row],[Age]]&lt;=18,"CHILD",IF(Table1_1[[#This Row],[Age]]&lt;59,"ADULT","SENIOR"))</f>
        <v>SENIOR</v>
      </c>
      <c r="F89" t="str">
        <f>IF(AND(Table1_1[[#This Row],[Age]]&gt;=60,Table1_1[[#This Row],[Insurance Status]]="INSURED"),"SENIOR ELIGIBLE","NOT ELIGIBLE")</f>
        <v>NOT ELIGIBLE</v>
      </c>
      <c r="G89" t="s">
        <v>16</v>
      </c>
      <c r="H89" t="s">
        <v>319</v>
      </c>
      <c r="I89" t="s">
        <v>336</v>
      </c>
      <c r="J89" s="1">
        <v>46102</v>
      </c>
      <c r="K89" s="1">
        <v>46107</v>
      </c>
      <c r="L89" t="s">
        <v>327</v>
      </c>
      <c r="M89" t="s">
        <v>335</v>
      </c>
      <c r="N89">
        <v>35679</v>
      </c>
      <c r="O89" t="str">
        <f>IF(OR(Table1_1[[#This Row],[Treatment Cost]]&gt;=20000,Table1_1[[#Headers],[Room Type]]="ICU"),"HIGH COST","NORMAL COST")</f>
        <v>HIGH COST</v>
      </c>
      <c r="P89" t="s">
        <v>322</v>
      </c>
      <c r="Q89" t="s">
        <v>323</v>
      </c>
    </row>
    <row r="90" spans="1:17" x14ac:dyDescent="0.35">
      <c r="A90" t="s">
        <v>201</v>
      </c>
      <c r="B90" t="s">
        <v>340</v>
      </c>
      <c r="C90" t="s">
        <v>15</v>
      </c>
      <c r="D90">
        <v>24</v>
      </c>
      <c r="E90" t="str">
        <f>IF(Table1_1[[#This Row],[Age]]&lt;=18,"CHILD",IF(Table1_1[[#This Row],[Age]]&lt;59,"ADULT","SENIOR"))</f>
        <v>ADULT</v>
      </c>
      <c r="F90" t="str">
        <f>IF(AND(Table1_1[[#This Row],[Age]]&gt;=60,Table1_1[[#This Row],[Insurance Status]]="INSURED"),"SENIOR ELIGIBLE","NOT ELIGIBLE")</f>
        <v>NOT ELIGIBLE</v>
      </c>
      <c r="G90" t="s">
        <v>22</v>
      </c>
      <c r="H90" t="s">
        <v>329</v>
      </c>
      <c r="I90" t="s">
        <v>326</v>
      </c>
      <c r="J90" s="1">
        <v>46038</v>
      </c>
      <c r="K90" s="1">
        <v>46043</v>
      </c>
      <c r="L90" t="s">
        <v>339</v>
      </c>
      <c r="M90" t="s">
        <v>335</v>
      </c>
      <c r="N90">
        <v>35648</v>
      </c>
      <c r="O90" t="str">
        <f>IF(OR(Table1_1[[#This Row],[Treatment Cost]]&gt;=20000,Table1_1[[#Headers],[Room Type]]="ICU"),"HIGH COST","NORMAL COST")</f>
        <v>HIGH COST</v>
      </c>
      <c r="P90" t="s">
        <v>322</v>
      </c>
      <c r="Q90" t="s">
        <v>23</v>
      </c>
    </row>
    <row r="91" spans="1:17" x14ac:dyDescent="0.35">
      <c r="A91" t="s">
        <v>64</v>
      </c>
      <c r="B91" t="s">
        <v>340</v>
      </c>
      <c r="C91" t="s">
        <v>15</v>
      </c>
      <c r="D91">
        <v>69</v>
      </c>
      <c r="E91" t="str">
        <f>IF(Table1_1[[#This Row],[Age]]&lt;=18,"CHILD",IF(Table1_1[[#This Row],[Age]]&lt;59,"ADULT","SENIOR"))</f>
        <v>SENIOR</v>
      </c>
      <c r="F91" t="str">
        <f>IF(AND(Table1_1[[#This Row],[Age]]&gt;=60,Table1_1[[#This Row],[Insurance Status]]="INSURED"),"SENIOR ELIGIBLE","NOT ELIGIBLE")</f>
        <v>SENIOR ELIGIBLE</v>
      </c>
      <c r="G91" t="s">
        <v>22</v>
      </c>
      <c r="H91" t="s">
        <v>319</v>
      </c>
      <c r="I91" t="s">
        <v>326</v>
      </c>
      <c r="J91" s="1">
        <v>46173</v>
      </c>
      <c r="K91" s="1">
        <v>46179</v>
      </c>
      <c r="L91" t="s">
        <v>332</v>
      </c>
      <c r="M91" t="s">
        <v>335</v>
      </c>
      <c r="N91">
        <v>35260</v>
      </c>
      <c r="O91" t="str">
        <f>IF(OR(Table1_1[[#This Row],[Treatment Cost]]&gt;=20000,Table1_1[[#Headers],[Room Type]]="ICU"),"HIGH COST","NORMAL COST")</f>
        <v>HIGH COST</v>
      </c>
      <c r="P91" t="s">
        <v>331</v>
      </c>
      <c r="Q91" t="s">
        <v>323</v>
      </c>
    </row>
    <row r="92" spans="1:17" x14ac:dyDescent="0.35">
      <c r="A92" t="s">
        <v>155</v>
      </c>
      <c r="B92" t="s">
        <v>334</v>
      </c>
      <c r="C92" t="s">
        <v>19</v>
      </c>
      <c r="D92">
        <v>65</v>
      </c>
      <c r="E92" t="str">
        <f>IF(Table1_1[[#This Row],[Age]]&lt;=18,"CHILD",IF(Table1_1[[#This Row],[Age]]&lt;59,"ADULT","SENIOR"))</f>
        <v>SENIOR</v>
      </c>
      <c r="F92" t="str">
        <f>IF(AND(Table1_1[[#This Row],[Age]]&gt;=60,Table1_1[[#This Row],[Insurance Status]]="INSURED"),"SENIOR ELIGIBLE","NOT ELIGIBLE")</f>
        <v>SENIOR ELIGIBLE</v>
      </c>
      <c r="G92" t="s">
        <v>22</v>
      </c>
      <c r="H92" t="s">
        <v>325</v>
      </c>
      <c r="I92" t="s">
        <v>326</v>
      </c>
      <c r="J92" s="1">
        <v>46049</v>
      </c>
      <c r="K92" s="1">
        <v>46055</v>
      </c>
      <c r="L92" t="s">
        <v>339</v>
      </c>
      <c r="M92" t="s">
        <v>328</v>
      </c>
      <c r="N92">
        <v>34894</v>
      </c>
      <c r="O92" t="str">
        <f>IF(OR(Table1_1[[#This Row],[Treatment Cost]]&gt;=20000,Table1_1[[#Headers],[Room Type]]="ICU"),"HIGH COST","NORMAL COST")</f>
        <v>HIGH COST</v>
      </c>
      <c r="P92" t="s">
        <v>331</v>
      </c>
      <c r="Q92" t="s">
        <v>323</v>
      </c>
    </row>
    <row r="93" spans="1:17" x14ac:dyDescent="0.35">
      <c r="A93" t="s">
        <v>52</v>
      </c>
      <c r="B93" t="s">
        <v>340</v>
      </c>
      <c r="C93" t="s">
        <v>15</v>
      </c>
      <c r="D93">
        <v>47</v>
      </c>
      <c r="E93" t="str">
        <f>IF(Table1_1[[#This Row],[Age]]&lt;=18,"CHILD",IF(Table1_1[[#This Row],[Age]]&lt;59,"ADULT","SENIOR"))</f>
        <v>ADULT</v>
      </c>
      <c r="F93" t="str">
        <f>IF(AND(Table1_1[[#This Row],[Age]]&gt;=60,Table1_1[[#This Row],[Insurance Status]]="INSURED"),"SENIOR ELIGIBLE","NOT ELIGIBLE")</f>
        <v>NOT ELIGIBLE</v>
      </c>
      <c r="G93" t="s">
        <v>20</v>
      </c>
      <c r="H93" t="s">
        <v>342</v>
      </c>
      <c r="I93" t="s">
        <v>326</v>
      </c>
      <c r="J93" s="1">
        <v>46146</v>
      </c>
      <c r="K93" s="1">
        <v>46154</v>
      </c>
      <c r="L93" t="s">
        <v>17</v>
      </c>
      <c r="M93" t="s">
        <v>335</v>
      </c>
      <c r="N93">
        <v>34827</v>
      </c>
      <c r="O93" t="str">
        <f>IF(OR(Table1_1[[#This Row],[Treatment Cost]]&gt;=20000,Table1_1[[#Headers],[Room Type]]="ICU"),"HIGH COST","NORMAL COST")</f>
        <v>HIGH COST</v>
      </c>
      <c r="P93" t="s">
        <v>331</v>
      </c>
      <c r="Q93" t="s">
        <v>23</v>
      </c>
    </row>
    <row r="94" spans="1:17" x14ac:dyDescent="0.35">
      <c r="A94" t="s">
        <v>70</v>
      </c>
      <c r="B94" t="s">
        <v>337</v>
      </c>
      <c r="C94" t="s">
        <v>19</v>
      </c>
      <c r="D94">
        <v>33</v>
      </c>
      <c r="E94" t="str">
        <f>IF(Table1_1[[#This Row],[Age]]&lt;=18,"CHILD",IF(Table1_1[[#This Row],[Age]]&lt;59,"ADULT","SENIOR"))</f>
        <v>ADULT</v>
      </c>
      <c r="F94" t="str">
        <f>IF(AND(Table1_1[[#This Row],[Age]]&gt;=60,Table1_1[[#This Row],[Insurance Status]]="INSURED"),"SENIOR ELIGIBLE","NOT ELIGIBLE")</f>
        <v>NOT ELIGIBLE</v>
      </c>
      <c r="G94" t="s">
        <v>26</v>
      </c>
      <c r="H94" t="s">
        <v>319</v>
      </c>
      <c r="I94" t="s">
        <v>338</v>
      </c>
      <c r="J94" s="1">
        <v>46027</v>
      </c>
      <c r="K94" s="1">
        <v>46031</v>
      </c>
      <c r="L94" t="s">
        <v>327</v>
      </c>
      <c r="M94" t="s">
        <v>335</v>
      </c>
      <c r="N94">
        <v>34767</v>
      </c>
      <c r="O94" t="str">
        <f>IF(OR(Table1_1[[#This Row],[Treatment Cost]]&gt;=20000,Table1_1[[#Headers],[Room Type]]="ICU"),"HIGH COST","NORMAL COST")</f>
        <v>HIGH COST</v>
      </c>
      <c r="P94" t="s">
        <v>322</v>
      </c>
      <c r="Q94" t="s">
        <v>23</v>
      </c>
    </row>
    <row r="95" spans="1:17" x14ac:dyDescent="0.35">
      <c r="A95" t="s">
        <v>314</v>
      </c>
      <c r="B95" t="s">
        <v>341</v>
      </c>
      <c r="C95" t="s">
        <v>15</v>
      </c>
      <c r="D95">
        <v>28</v>
      </c>
      <c r="E95" t="str">
        <f>IF(Table1_1[[#This Row],[Age]]&lt;=18,"CHILD",IF(Table1_1[[#This Row],[Age]]&lt;59,"ADULT","SENIOR"))</f>
        <v>ADULT</v>
      </c>
      <c r="F95" t="str">
        <f>IF(AND(Table1_1[[#This Row],[Age]]&gt;=60,Table1_1[[#This Row],[Insurance Status]]="INSURED"),"SENIOR ELIGIBLE","NOT ELIGIBLE")</f>
        <v>NOT ELIGIBLE</v>
      </c>
      <c r="G95" t="s">
        <v>22</v>
      </c>
      <c r="H95" t="s">
        <v>329</v>
      </c>
      <c r="I95" t="s">
        <v>320</v>
      </c>
      <c r="J95" s="1">
        <v>46037</v>
      </c>
      <c r="K95" s="1">
        <v>46042</v>
      </c>
      <c r="L95" t="s">
        <v>327</v>
      </c>
      <c r="M95" t="s">
        <v>328</v>
      </c>
      <c r="N95">
        <v>34426</v>
      </c>
      <c r="O95" t="str">
        <f>IF(OR(Table1_1[[#This Row],[Treatment Cost]]&gt;=20000,Table1_1[[#Headers],[Room Type]]="ICU"),"HIGH COST","NORMAL COST")</f>
        <v>HIGH COST</v>
      </c>
      <c r="P95" t="s">
        <v>322</v>
      </c>
      <c r="Q95" t="s">
        <v>323</v>
      </c>
    </row>
    <row r="96" spans="1:17" x14ac:dyDescent="0.35">
      <c r="A96" t="s">
        <v>24</v>
      </c>
      <c r="B96" t="s">
        <v>318</v>
      </c>
      <c r="C96" t="s">
        <v>15</v>
      </c>
      <c r="D96">
        <v>73</v>
      </c>
      <c r="E96" t="str">
        <f>IF(Table1_1[[#This Row],[Age]]&lt;=18,"CHILD",IF(Table1_1[[#This Row],[Age]]&lt;59,"ADULT","SENIOR"))</f>
        <v>SENIOR</v>
      </c>
      <c r="F96" t="str">
        <f>IF(AND(Table1_1[[#This Row],[Age]]&gt;=60,Table1_1[[#This Row],[Insurance Status]]="INSURED"),"SENIOR ELIGIBLE","NOT ELIGIBLE")</f>
        <v>SENIOR ELIGIBLE</v>
      </c>
      <c r="G96" t="s">
        <v>16</v>
      </c>
      <c r="H96" t="s">
        <v>319</v>
      </c>
      <c r="I96" t="s">
        <v>326</v>
      </c>
      <c r="J96" s="1">
        <v>46061</v>
      </c>
      <c r="K96" s="1">
        <v>46065</v>
      </c>
      <c r="L96" t="s">
        <v>332</v>
      </c>
      <c r="M96" t="s">
        <v>321</v>
      </c>
      <c r="N96">
        <v>34250</v>
      </c>
      <c r="O96" t="str">
        <f>IF(OR(Table1_1[[#This Row],[Treatment Cost]]&gt;=20000,Table1_1[[#Headers],[Room Type]]="ICU"),"HIGH COST","NORMAL COST")</f>
        <v>HIGH COST</v>
      </c>
      <c r="P96" t="s">
        <v>331</v>
      </c>
      <c r="Q96" t="s">
        <v>333</v>
      </c>
    </row>
    <row r="97" spans="1:17" x14ac:dyDescent="0.35">
      <c r="A97" t="s">
        <v>312</v>
      </c>
      <c r="B97" t="s">
        <v>337</v>
      </c>
      <c r="C97" t="s">
        <v>15</v>
      </c>
      <c r="D97">
        <v>39</v>
      </c>
      <c r="E97" t="str">
        <f>IF(Table1_1[[#This Row],[Age]]&lt;=18,"CHILD",IF(Table1_1[[#This Row],[Age]]&lt;59,"ADULT","SENIOR"))</f>
        <v>ADULT</v>
      </c>
      <c r="F97" t="str">
        <f>IF(AND(Table1_1[[#This Row],[Age]]&gt;=60,Table1_1[[#This Row],[Insurance Status]]="INSURED"),"SENIOR ELIGIBLE","NOT ELIGIBLE")</f>
        <v>NOT ELIGIBLE</v>
      </c>
      <c r="G97" t="s">
        <v>20</v>
      </c>
      <c r="H97" t="s">
        <v>329</v>
      </c>
      <c r="I97" t="s">
        <v>320</v>
      </c>
      <c r="J97" s="1">
        <v>46085</v>
      </c>
      <c r="K97" s="1">
        <v>46088</v>
      </c>
      <c r="L97" t="s">
        <v>339</v>
      </c>
      <c r="M97" t="s">
        <v>330</v>
      </c>
      <c r="N97">
        <v>33988</v>
      </c>
      <c r="O97" t="str">
        <f>IF(OR(Table1_1[[#This Row],[Treatment Cost]]&gt;=20000,Table1_1[[#Headers],[Room Type]]="ICU"),"HIGH COST","NORMAL COST")</f>
        <v>HIGH COST</v>
      </c>
      <c r="P97" t="s">
        <v>322</v>
      </c>
      <c r="Q97" t="s">
        <v>323</v>
      </c>
    </row>
    <row r="98" spans="1:17" x14ac:dyDescent="0.35">
      <c r="A98" t="s">
        <v>51</v>
      </c>
      <c r="B98" t="s">
        <v>334</v>
      </c>
      <c r="C98" t="s">
        <v>19</v>
      </c>
      <c r="D98">
        <v>84</v>
      </c>
      <c r="E98" t="str">
        <f>IF(Table1_1[[#This Row],[Age]]&lt;=18,"CHILD",IF(Table1_1[[#This Row],[Age]]&lt;59,"ADULT","SENIOR"))</f>
        <v>SENIOR</v>
      </c>
      <c r="F98" t="str">
        <f>IF(AND(Table1_1[[#This Row],[Age]]&gt;=60,Table1_1[[#This Row],[Insurance Status]]="INSURED"),"SENIOR ELIGIBLE","NOT ELIGIBLE")</f>
        <v>SENIOR ELIGIBLE</v>
      </c>
      <c r="G98" t="s">
        <v>26</v>
      </c>
      <c r="H98" t="s">
        <v>329</v>
      </c>
      <c r="I98" t="s">
        <v>320</v>
      </c>
      <c r="J98" s="1">
        <v>46160</v>
      </c>
      <c r="K98" s="1">
        <v>46169</v>
      </c>
      <c r="L98" t="s">
        <v>17</v>
      </c>
      <c r="M98" t="s">
        <v>330</v>
      </c>
      <c r="N98">
        <v>33608</v>
      </c>
      <c r="O98" t="str">
        <f>IF(OR(Table1_1[[#This Row],[Treatment Cost]]&gt;=20000,Table1_1[[#Headers],[Room Type]]="ICU"),"HIGH COST","NORMAL COST")</f>
        <v>HIGH COST</v>
      </c>
      <c r="P98" t="s">
        <v>331</v>
      </c>
      <c r="Q98" t="s">
        <v>333</v>
      </c>
    </row>
    <row r="99" spans="1:17" x14ac:dyDescent="0.35">
      <c r="A99" t="s">
        <v>208</v>
      </c>
      <c r="B99" t="s">
        <v>334</v>
      </c>
      <c r="C99" t="s">
        <v>19</v>
      </c>
      <c r="D99">
        <v>19</v>
      </c>
      <c r="E99" t="str">
        <f>IF(Table1_1[[#This Row],[Age]]&lt;=18,"CHILD",IF(Table1_1[[#This Row],[Age]]&lt;59,"ADULT","SENIOR"))</f>
        <v>ADULT</v>
      </c>
      <c r="F99" t="str">
        <f>IF(AND(Table1_1[[#This Row],[Age]]&gt;=60,Table1_1[[#This Row],[Insurance Status]]="INSURED"),"SENIOR ELIGIBLE","NOT ELIGIBLE")</f>
        <v>NOT ELIGIBLE</v>
      </c>
      <c r="G99" t="s">
        <v>20</v>
      </c>
      <c r="H99" t="s">
        <v>325</v>
      </c>
      <c r="I99" t="s">
        <v>320</v>
      </c>
      <c r="J99" s="1">
        <v>46090</v>
      </c>
      <c r="K99" s="1">
        <v>46092</v>
      </c>
      <c r="L99" t="s">
        <v>332</v>
      </c>
      <c r="M99" t="s">
        <v>330</v>
      </c>
      <c r="N99">
        <v>33515</v>
      </c>
      <c r="O99" t="str">
        <f>IF(OR(Table1_1[[#This Row],[Treatment Cost]]&gt;=20000,Table1_1[[#Headers],[Room Type]]="ICU"),"HIGH COST","NORMAL COST")</f>
        <v>HIGH COST</v>
      </c>
      <c r="P99" t="s">
        <v>331</v>
      </c>
      <c r="Q99" t="s">
        <v>323</v>
      </c>
    </row>
    <row r="100" spans="1:17" x14ac:dyDescent="0.35">
      <c r="A100" t="s">
        <v>174</v>
      </c>
      <c r="B100" t="s">
        <v>341</v>
      </c>
      <c r="C100" t="s">
        <v>19</v>
      </c>
      <c r="D100">
        <v>56</v>
      </c>
      <c r="E100" t="str">
        <f>IF(Table1_1[[#This Row],[Age]]&lt;=18,"CHILD",IF(Table1_1[[#This Row],[Age]]&lt;59,"ADULT","SENIOR"))</f>
        <v>ADULT</v>
      </c>
      <c r="F100" t="str">
        <f>IF(AND(Table1_1[[#This Row],[Age]]&gt;=60,Table1_1[[#This Row],[Insurance Status]]="INSURED"),"SENIOR ELIGIBLE","NOT ELIGIBLE")</f>
        <v>NOT ELIGIBLE</v>
      </c>
      <c r="G100" t="s">
        <v>20</v>
      </c>
      <c r="H100" t="s">
        <v>342</v>
      </c>
      <c r="I100" t="s">
        <v>326</v>
      </c>
      <c r="J100" s="1">
        <v>46044</v>
      </c>
      <c r="K100" s="1">
        <v>46046</v>
      </c>
      <c r="L100" t="s">
        <v>339</v>
      </c>
      <c r="M100" t="s">
        <v>328</v>
      </c>
      <c r="N100">
        <v>33230</v>
      </c>
      <c r="O100" t="str">
        <f>IF(OR(Table1_1[[#This Row],[Treatment Cost]]&gt;=20000,Table1_1[[#Headers],[Room Type]]="ICU"),"HIGH COST","NORMAL COST")</f>
        <v>HIGH COST</v>
      </c>
      <c r="P100" t="s">
        <v>331</v>
      </c>
      <c r="Q100" t="s">
        <v>23</v>
      </c>
    </row>
    <row r="101" spans="1:17" x14ac:dyDescent="0.35">
      <c r="A101" t="s">
        <v>316</v>
      </c>
      <c r="B101" t="s">
        <v>324</v>
      </c>
      <c r="C101" t="s">
        <v>19</v>
      </c>
      <c r="D101">
        <v>71</v>
      </c>
      <c r="E101" t="str">
        <f>IF(Table1_1[[#This Row],[Age]]&lt;=18,"CHILD",IF(Table1_1[[#This Row],[Age]]&lt;59,"ADULT","SENIOR"))</f>
        <v>SENIOR</v>
      </c>
      <c r="F101" t="str">
        <f>IF(AND(Table1_1[[#This Row],[Age]]&gt;=60,Table1_1[[#This Row],[Insurance Status]]="INSURED"),"SENIOR ELIGIBLE","NOT ELIGIBLE")</f>
        <v>SENIOR ELIGIBLE</v>
      </c>
      <c r="G101" t="s">
        <v>20</v>
      </c>
      <c r="H101" t="s">
        <v>319</v>
      </c>
      <c r="I101" t="s">
        <v>338</v>
      </c>
      <c r="J101" s="1">
        <v>46038</v>
      </c>
      <c r="K101" s="1">
        <v>46043</v>
      </c>
      <c r="L101" t="s">
        <v>339</v>
      </c>
      <c r="M101" t="s">
        <v>328</v>
      </c>
      <c r="N101">
        <v>32917</v>
      </c>
      <c r="O101" t="str">
        <f>IF(OR(Table1_1[[#This Row],[Treatment Cost]]&gt;=20000,Table1_1[[#Headers],[Room Type]]="ICU"),"HIGH COST","NORMAL COST")</f>
        <v>HIGH COST</v>
      </c>
      <c r="P101" t="s">
        <v>331</v>
      </c>
      <c r="Q101" t="s">
        <v>23</v>
      </c>
    </row>
    <row r="102" spans="1:17" x14ac:dyDescent="0.35">
      <c r="A102" t="s">
        <v>273</v>
      </c>
      <c r="B102" t="s">
        <v>324</v>
      </c>
      <c r="C102" t="s">
        <v>15</v>
      </c>
      <c r="D102">
        <v>38</v>
      </c>
      <c r="E102" t="str">
        <f>IF(Table1_1[[#This Row],[Age]]&lt;=18,"CHILD",IF(Table1_1[[#This Row],[Age]]&lt;59,"ADULT","SENIOR"))</f>
        <v>ADULT</v>
      </c>
      <c r="F102" t="str">
        <f>IF(AND(Table1_1[[#This Row],[Age]]&gt;=60,Table1_1[[#This Row],[Insurance Status]]="INSURED"),"SENIOR ELIGIBLE","NOT ELIGIBLE")</f>
        <v>NOT ELIGIBLE</v>
      </c>
      <c r="G102" t="s">
        <v>16</v>
      </c>
      <c r="H102" t="s">
        <v>342</v>
      </c>
      <c r="I102" t="s">
        <v>320</v>
      </c>
      <c r="J102" s="1">
        <v>46158</v>
      </c>
      <c r="K102" s="1">
        <v>46167</v>
      </c>
      <c r="L102" t="s">
        <v>332</v>
      </c>
      <c r="M102" t="s">
        <v>330</v>
      </c>
      <c r="N102">
        <v>32913</v>
      </c>
      <c r="O102" t="str">
        <f>IF(OR(Table1_1[[#This Row],[Treatment Cost]]&gt;=20000,Table1_1[[#Headers],[Room Type]]="ICU"),"HIGH COST","NORMAL COST")</f>
        <v>HIGH COST</v>
      </c>
      <c r="P102" t="s">
        <v>331</v>
      </c>
      <c r="Q102" t="s">
        <v>333</v>
      </c>
    </row>
    <row r="103" spans="1:17" x14ac:dyDescent="0.35">
      <c r="A103" t="s">
        <v>259</v>
      </c>
      <c r="B103" t="s">
        <v>340</v>
      </c>
      <c r="C103" t="s">
        <v>19</v>
      </c>
      <c r="D103">
        <v>78</v>
      </c>
      <c r="E103" t="str">
        <f>IF(Table1_1[[#This Row],[Age]]&lt;=18,"CHILD",IF(Table1_1[[#This Row],[Age]]&lt;59,"ADULT","SENIOR"))</f>
        <v>SENIOR</v>
      </c>
      <c r="F103" t="str">
        <f>IF(AND(Table1_1[[#This Row],[Age]]&gt;=60,Table1_1[[#This Row],[Insurance Status]]="INSURED"),"SENIOR ELIGIBLE","NOT ELIGIBLE")</f>
        <v>SENIOR ELIGIBLE</v>
      </c>
      <c r="G103" t="s">
        <v>26</v>
      </c>
      <c r="H103" t="s">
        <v>325</v>
      </c>
      <c r="I103" t="s">
        <v>326</v>
      </c>
      <c r="J103" s="1">
        <v>46148</v>
      </c>
      <c r="K103" s="1">
        <v>46149</v>
      </c>
      <c r="L103" t="s">
        <v>17</v>
      </c>
      <c r="M103" t="s">
        <v>335</v>
      </c>
      <c r="N103">
        <v>32530</v>
      </c>
      <c r="O103" t="str">
        <f>IF(OR(Table1_1[[#This Row],[Treatment Cost]]&gt;=20000,Table1_1[[#Headers],[Room Type]]="ICU"),"HIGH COST","NORMAL COST")</f>
        <v>HIGH COST</v>
      </c>
      <c r="P103" t="s">
        <v>331</v>
      </c>
      <c r="Q103" t="s">
        <v>323</v>
      </c>
    </row>
    <row r="104" spans="1:17" x14ac:dyDescent="0.35">
      <c r="A104" t="s">
        <v>296</v>
      </c>
      <c r="B104" t="s">
        <v>334</v>
      </c>
      <c r="C104" t="s">
        <v>19</v>
      </c>
      <c r="D104">
        <v>80</v>
      </c>
      <c r="E104" t="str">
        <f>IF(Table1_1[[#This Row],[Age]]&lt;=18,"CHILD",IF(Table1_1[[#This Row],[Age]]&lt;59,"ADULT","SENIOR"))</f>
        <v>SENIOR</v>
      </c>
      <c r="F104" t="str">
        <f>IF(AND(Table1_1[[#This Row],[Age]]&gt;=60,Table1_1[[#This Row],[Insurance Status]]="INSURED"),"SENIOR ELIGIBLE","NOT ELIGIBLE")</f>
        <v>NOT ELIGIBLE</v>
      </c>
      <c r="G104" t="s">
        <v>26</v>
      </c>
      <c r="H104" t="s">
        <v>329</v>
      </c>
      <c r="I104" t="s">
        <v>326</v>
      </c>
      <c r="J104" s="1">
        <v>46060</v>
      </c>
      <c r="K104" s="1">
        <v>46064</v>
      </c>
      <c r="L104" t="s">
        <v>327</v>
      </c>
      <c r="M104" t="s">
        <v>330</v>
      </c>
      <c r="N104">
        <v>32519</v>
      </c>
      <c r="O104" t="str">
        <f>IF(OR(Table1_1[[#This Row],[Treatment Cost]]&gt;=20000,Table1_1[[#Headers],[Room Type]]="ICU"),"HIGH COST","NORMAL COST")</f>
        <v>HIGH COST</v>
      </c>
      <c r="P104" t="s">
        <v>322</v>
      </c>
      <c r="Q104" t="s">
        <v>23</v>
      </c>
    </row>
    <row r="105" spans="1:17" x14ac:dyDescent="0.35">
      <c r="A105" t="s">
        <v>55</v>
      </c>
      <c r="B105" t="s">
        <v>337</v>
      </c>
      <c r="C105" t="s">
        <v>19</v>
      </c>
      <c r="D105">
        <v>50</v>
      </c>
      <c r="E105" t="str">
        <f>IF(Table1_1[[#This Row],[Age]]&lt;=18,"CHILD",IF(Table1_1[[#This Row],[Age]]&lt;59,"ADULT","SENIOR"))</f>
        <v>ADULT</v>
      </c>
      <c r="F105" t="str">
        <f>IF(AND(Table1_1[[#This Row],[Age]]&gt;=60,Table1_1[[#This Row],[Insurance Status]]="INSURED"),"SENIOR ELIGIBLE","NOT ELIGIBLE")</f>
        <v>NOT ELIGIBLE</v>
      </c>
      <c r="G105" t="s">
        <v>22</v>
      </c>
      <c r="H105" t="s">
        <v>319</v>
      </c>
      <c r="I105" t="s">
        <v>320</v>
      </c>
      <c r="J105" s="1">
        <v>46089</v>
      </c>
      <c r="K105" s="1">
        <v>46093</v>
      </c>
      <c r="L105" t="s">
        <v>339</v>
      </c>
      <c r="M105" t="s">
        <v>321</v>
      </c>
      <c r="N105">
        <v>32512</v>
      </c>
      <c r="O105" t="str">
        <f>IF(OR(Table1_1[[#This Row],[Treatment Cost]]&gt;=20000,Table1_1[[#Headers],[Room Type]]="ICU"),"HIGH COST","NORMAL COST")</f>
        <v>HIGH COST</v>
      </c>
      <c r="P105" t="s">
        <v>322</v>
      </c>
      <c r="Q105" t="s">
        <v>23</v>
      </c>
    </row>
    <row r="106" spans="1:17" x14ac:dyDescent="0.35">
      <c r="A106" t="s">
        <v>85</v>
      </c>
      <c r="B106" t="s">
        <v>337</v>
      </c>
      <c r="C106" t="s">
        <v>19</v>
      </c>
      <c r="D106">
        <v>26</v>
      </c>
      <c r="E106" t="str">
        <f>IF(Table1_1[[#This Row],[Age]]&lt;=18,"CHILD",IF(Table1_1[[#This Row],[Age]]&lt;59,"ADULT","SENIOR"))</f>
        <v>ADULT</v>
      </c>
      <c r="F106" t="str">
        <f>IF(AND(Table1_1[[#This Row],[Age]]&gt;=60,Table1_1[[#This Row],[Insurance Status]]="INSURED"),"SENIOR ELIGIBLE","NOT ELIGIBLE")</f>
        <v>NOT ELIGIBLE</v>
      </c>
      <c r="G106" t="s">
        <v>22</v>
      </c>
      <c r="H106" t="s">
        <v>319</v>
      </c>
      <c r="I106" t="s">
        <v>320</v>
      </c>
      <c r="J106" s="1">
        <v>46191</v>
      </c>
      <c r="K106" s="1">
        <v>46201</v>
      </c>
      <c r="L106" t="s">
        <v>17</v>
      </c>
      <c r="M106" t="s">
        <v>321</v>
      </c>
      <c r="N106">
        <v>32125</v>
      </c>
      <c r="O106" t="str">
        <f>IF(OR(Table1_1[[#This Row],[Treatment Cost]]&gt;=20000,Table1_1[[#Headers],[Room Type]]="ICU"),"HIGH COST","NORMAL COST")</f>
        <v>HIGH COST</v>
      </c>
      <c r="P106" t="s">
        <v>331</v>
      </c>
      <c r="Q106" t="s">
        <v>333</v>
      </c>
    </row>
    <row r="107" spans="1:17" x14ac:dyDescent="0.35">
      <c r="A107" t="s">
        <v>248</v>
      </c>
      <c r="B107" t="s">
        <v>337</v>
      </c>
      <c r="C107" t="s">
        <v>15</v>
      </c>
      <c r="D107">
        <v>73</v>
      </c>
      <c r="E107" t="str">
        <f>IF(Table1_1[[#This Row],[Age]]&lt;=18,"CHILD",IF(Table1_1[[#This Row],[Age]]&lt;59,"ADULT","SENIOR"))</f>
        <v>SENIOR</v>
      </c>
      <c r="F107" t="str">
        <f>IF(AND(Table1_1[[#This Row],[Age]]&gt;=60,Table1_1[[#This Row],[Insurance Status]]="INSURED"),"SENIOR ELIGIBLE","NOT ELIGIBLE")</f>
        <v>NOT ELIGIBLE</v>
      </c>
      <c r="G107" t="s">
        <v>16</v>
      </c>
      <c r="H107" t="s">
        <v>342</v>
      </c>
      <c r="I107" t="s">
        <v>338</v>
      </c>
      <c r="J107" s="1">
        <v>46182</v>
      </c>
      <c r="K107" s="1">
        <v>46188</v>
      </c>
      <c r="L107" t="s">
        <v>332</v>
      </c>
      <c r="M107" t="s">
        <v>335</v>
      </c>
      <c r="N107">
        <v>32032</v>
      </c>
      <c r="O107" t="str">
        <f>IF(OR(Table1_1[[#This Row],[Treatment Cost]]&gt;=20000,Table1_1[[#Headers],[Room Type]]="ICU"),"HIGH COST","NORMAL COST")</f>
        <v>HIGH COST</v>
      </c>
      <c r="P107" t="s">
        <v>322</v>
      </c>
      <c r="Q107" t="s">
        <v>23</v>
      </c>
    </row>
    <row r="108" spans="1:17" x14ac:dyDescent="0.35">
      <c r="A108" t="s">
        <v>92</v>
      </c>
      <c r="B108" t="s">
        <v>341</v>
      </c>
      <c r="C108" t="s">
        <v>19</v>
      </c>
      <c r="D108">
        <v>84</v>
      </c>
      <c r="E108" t="str">
        <f>IF(Table1_1[[#This Row],[Age]]&lt;=18,"CHILD",IF(Table1_1[[#This Row],[Age]]&lt;59,"ADULT","SENIOR"))</f>
        <v>SENIOR</v>
      </c>
      <c r="F108" t="str">
        <f>IF(AND(Table1_1[[#This Row],[Age]]&gt;=60,Table1_1[[#This Row],[Insurance Status]]="INSURED"),"SENIOR ELIGIBLE","NOT ELIGIBLE")</f>
        <v>SENIOR ELIGIBLE</v>
      </c>
      <c r="G108" t="s">
        <v>16</v>
      </c>
      <c r="H108" t="s">
        <v>319</v>
      </c>
      <c r="I108" t="s">
        <v>320</v>
      </c>
      <c r="J108" s="1">
        <v>46048</v>
      </c>
      <c r="K108" s="1">
        <v>46054</v>
      </c>
      <c r="L108" t="s">
        <v>17</v>
      </c>
      <c r="M108" t="s">
        <v>335</v>
      </c>
      <c r="N108">
        <v>31978</v>
      </c>
      <c r="O108" t="str">
        <f>IF(OR(Table1_1[[#This Row],[Treatment Cost]]&gt;=20000,Table1_1[[#Headers],[Room Type]]="ICU"),"HIGH COST","NORMAL COST")</f>
        <v>HIGH COST</v>
      </c>
      <c r="P108" t="s">
        <v>331</v>
      </c>
      <c r="Q108" t="s">
        <v>23</v>
      </c>
    </row>
    <row r="109" spans="1:17" x14ac:dyDescent="0.35">
      <c r="A109" t="s">
        <v>247</v>
      </c>
      <c r="B109" t="s">
        <v>334</v>
      </c>
      <c r="C109" t="s">
        <v>15</v>
      </c>
      <c r="D109">
        <v>82</v>
      </c>
      <c r="E109" t="str">
        <f>IF(Table1_1[[#This Row],[Age]]&lt;=18,"CHILD",IF(Table1_1[[#This Row],[Age]]&lt;59,"ADULT","SENIOR"))</f>
        <v>SENIOR</v>
      </c>
      <c r="F109" t="str">
        <f>IF(AND(Table1_1[[#This Row],[Age]]&gt;=60,Table1_1[[#This Row],[Insurance Status]]="INSURED"),"SENIOR ELIGIBLE","NOT ELIGIBLE")</f>
        <v>NOT ELIGIBLE</v>
      </c>
      <c r="G109" t="s">
        <v>16</v>
      </c>
      <c r="H109" t="s">
        <v>329</v>
      </c>
      <c r="I109" t="s">
        <v>320</v>
      </c>
      <c r="J109" s="1">
        <v>46029</v>
      </c>
      <c r="K109" s="1">
        <v>46031</v>
      </c>
      <c r="L109" t="s">
        <v>339</v>
      </c>
      <c r="M109" t="s">
        <v>321</v>
      </c>
      <c r="N109">
        <v>31941</v>
      </c>
      <c r="O109" t="str">
        <f>IF(OR(Table1_1[[#This Row],[Treatment Cost]]&gt;=20000,Table1_1[[#Headers],[Room Type]]="ICU"),"HIGH COST","NORMAL COST")</f>
        <v>HIGH COST</v>
      </c>
      <c r="P109" t="s">
        <v>322</v>
      </c>
      <c r="Q109" t="s">
        <v>333</v>
      </c>
    </row>
    <row r="110" spans="1:17" x14ac:dyDescent="0.35">
      <c r="A110" t="s">
        <v>213</v>
      </c>
      <c r="B110" t="s">
        <v>334</v>
      </c>
      <c r="C110" t="s">
        <v>15</v>
      </c>
      <c r="D110">
        <v>45</v>
      </c>
      <c r="E110" t="str">
        <f>IF(Table1_1[[#This Row],[Age]]&lt;=18,"CHILD",IF(Table1_1[[#This Row],[Age]]&lt;59,"ADULT","SENIOR"))</f>
        <v>ADULT</v>
      </c>
      <c r="F110" t="str">
        <f>IF(AND(Table1_1[[#This Row],[Age]]&gt;=60,Table1_1[[#This Row],[Insurance Status]]="INSURED"),"SENIOR ELIGIBLE","NOT ELIGIBLE")</f>
        <v>NOT ELIGIBLE</v>
      </c>
      <c r="G110" t="s">
        <v>22</v>
      </c>
      <c r="H110" t="s">
        <v>325</v>
      </c>
      <c r="I110" t="s">
        <v>320</v>
      </c>
      <c r="J110" s="1">
        <v>46077</v>
      </c>
      <c r="K110" s="1">
        <v>46087</v>
      </c>
      <c r="L110" t="s">
        <v>17</v>
      </c>
      <c r="M110" t="s">
        <v>335</v>
      </c>
      <c r="N110">
        <v>31744</v>
      </c>
      <c r="O110" t="str">
        <f>IF(OR(Table1_1[[#This Row],[Treatment Cost]]&gt;=20000,Table1_1[[#Headers],[Room Type]]="ICU"),"HIGH COST","NORMAL COST")</f>
        <v>HIGH COST</v>
      </c>
      <c r="P110" t="s">
        <v>322</v>
      </c>
      <c r="Q110" t="s">
        <v>323</v>
      </c>
    </row>
    <row r="111" spans="1:17" x14ac:dyDescent="0.35">
      <c r="A111" t="s">
        <v>218</v>
      </c>
      <c r="B111" t="s">
        <v>324</v>
      </c>
      <c r="C111" t="s">
        <v>19</v>
      </c>
      <c r="D111">
        <v>55</v>
      </c>
      <c r="E111" t="str">
        <f>IF(Table1_1[[#This Row],[Age]]&lt;=18,"CHILD",IF(Table1_1[[#This Row],[Age]]&lt;59,"ADULT","SENIOR"))</f>
        <v>ADULT</v>
      </c>
      <c r="F111" t="str">
        <f>IF(AND(Table1_1[[#This Row],[Age]]&gt;=60,Table1_1[[#This Row],[Insurance Status]]="INSURED"),"SENIOR ELIGIBLE","NOT ELIGIBLE")</f>
        <v>NOT ELIGIBLE</v>
      </c>
      <c r="G111" t="s">
        <v>16</v>
      </c>
      <c r="H111" t="s">
        <v>319</v>
      </c>
      <c r="I111" t="s">
        <v>326</v>
      </c>
      <c r="J111" s="1">
        <v>46039</v>
      </c>
      <c r="K111" s="1">
        <v>46043</v>
      </c>
      <c r="L111" t="s">
        <v>332</v>
      </c>
      <c r="M111" t="s">
        <v>335</v>
      </c>
      <c r="N111">
        <v>31641</v>
      </c>
      <c r="O111" t="str">
        <f>IF(OR(Table1_1[[#This Row],[Treatment Cost]]&gt;=20000,Table1_1[[#Headers],[Room Type]]="ICU"),"HIGH COST","NORMAL COST")</f>
        <v>HIGH COST</v>
      </c>
      <c r="P111" t="s">
        <v>331</v>
      </c>
      <c r="Q111" t="s">
        <v>323</v>
      </c>
    </row>
    <row r="112" spans="1:17" x14ac:dyDescent="0.35">
      <c r="A112" t="s">
        <v>114</v>
      </c>
      <c r="B112" t="s">
        <v>341</v>
      </c>
      <c r="C112" t="s">
        <v>15</v>
      </c>
      <c r="D112">
        <v>34</v>
      </c>
      <c r="E112" t="str">
        <f>IF(Table1_1[[#This Row],[Age]]&lt;=18,"CHILD",IF(Table1_1[[#This Row],[Age]]&lt;59,"ADULT","SENIOR"))</f>
        <v>ADULT</v>
      </c>
      <c r="F112" t="str">
        <f>IF(AND(Table1_1[[#This Row],[Age]]&gt;=60,Table1_1[[#This Row],[Insurance Status]]="INSURED"),"SENIOR ELIGIBLE","NOT ELIGIBLE")</f>
        <v>NOT ELIGIBLE</v>
      </c>
      <c r="G112" t="s">
        <v>16</v>
      </c>
      <c r="H112" t="s">
        <v>329</v>
      </c>
      <c r="I112" t="s">
        <v>326</v>
      </c>
      <c r="J112" s="1">
        <v>46103</v>
      </c>
      <c r="K112" s="1">
        <v>46111</v>
      </c>
      <c r="L112" t="s">
        <v>332</v>
      </c>
      <c r="M112" t="s">
        <v>328</v>
      </c>
      <c r="N112">
        <v>31587</v>
      </c>
      <c r="O112" t="str">
        <f>IF(OR(Table1_1[[#This Row],[Treatment Cost]]&gt;=20000,Table1_1[[#Headers],[Room Type]]="ICU"),"HIGH COST","NORMAL COST")</f>
        <v>HIGH COST</v>
      </c>
      <c r="P112" t="s">
        <v>331</v>
      </c>
      <c r="Q112" t="s">
        <v>323</v>
      </c>
    </row>
    <row r="113" spans="1:17" x14ac:dyDescent="0.35">
      <c r="A113" t="s">
        <v>183</v>
      </c>
      <c r="B113" t="s">
        <v>337</v>
      </c>
      <c r="C113" t="s">
        <v>15</v>
      </c>
      <c r="D113">
        <v>34</v>
      </c>
      <c r="E113" t="str">
        <f>IF(Table1_1[[#This Row],[Age]]&lt;=18,"CHILD",IF(Table1_1[[#This Row],[Age]]&lt;59,"ADULT","SENIOR"))</f>
        <v>ADULT</v>
      </c>
      <c r="F113" t="str">
        <f>IF(AND(Table1_1[[#This Row],[Age]]&gt;=60,Table1_1[[#This Row],[Insurance Status]]="INSURED"),"SENIOR ELIGIBLE","NOT ELIGIBLE")</f>
        <v>NOT ELIGIBLE</v>
      </c>
      <c r="G113" t="s">
        <v>20</v>
      </c>
      <c r="H113" t="s">
        <v>319</v>
      </c>
      <c r="I113" t="s">
        <v>326</v>
      </c>
      <c r="J113" s="1">
        <v>46159</v>
      </c>
      <c r="K113" s="1">
        <v>46161</v>
      </c>
      <c r="L113" t="s">
        <v>339</v>
      </c>
      <c r="M113" t="s">
        <v>335</v>
      </c>
      <c r="N113">
        <v>31422</v>
      </c>
      <c r="O113" t="str">
        <f>IF(OR(Table1_1[[#This Row],[Treatment Cost]]&gt;=20000,Table1_1[[#Headers],[Room Type]]="ICU"),"HIGH COST","NORMAL COST")</f>
        <v>HIGH COST</v>
      </c>
      <c r="P113" t="s">
        <v>322</v>
      </c>
      <c r="Q113" t="s">
        <v>323</v>
      </c>
    </row>
    <row r="114" spans="1:17" x14ac:dyDescent="0.35">
      <c r="A114" t="s">
        <v>81</v>
      </c>
      <c r="B114" t="s">
        <v>340</v>
      </c>
      <c r="C114" t="s">
        <v>15</v>
      </c>
      <c r="D114">
        <v>22</v>
      </c>
      <c r="E114" t="str">
        <f>IF(Table1_1[[#This Row],[Age]]&lt;=18,"CHILD",IF(Table1_1[[#This Row],[Age]]&lt;59,"ADULT","SENIOR"))</f>
        <v>ADULT</v>
      </c>
      <c r="F114" t="str">
        <f>IF(AND(Table1_1[[#This Row],[Age]]&gt;=60,Table1_1[[#This Row],[Insurance Status]]="INSURED"),"SENIOR ELIGIBLE","NOT ELIGIBLE")</f>
        <v>NOT ELIGIBLE</v>
      </c>
      <c r="G114" t="s">
        <v>22</v>
      </c>
      <c r="H114" t="s">
        <v>329</v>
      </c>
      <c r="I114" t="s">
        <v>326</v>
      </c>
      <c r="J114" s="1">
        <v>46187</v>
      </c>
      <c r="K114" s="1">
        <v>46192</v>
      </c>
      <c r="L114" t="s">
        <v>327</v>
      </c>
      <c r="M114" t="s">
        <v>328</v>
      </c>
      <c r="N114">
        <v>31307</v>
      </c>
      <c r="O114" t="str">
        <f>IF(OR(Table1_1[[#This Row],[Treatment Cost]]&gt;=20000,Table1_1[[#Headers],[Room Type]]="ICU"),"HIGH COST","NORMAL COST")</f>
        <v>HIGH COST</v>
      </c>
      <c r="P114" t="s">
        <v>322</v>
      </c>
      <c r="Q114" t="s">
        <v>23</v>
      </c>
    </row>
    <row r="115" spans="1:17" x14ac:dyDescent="0.35">
      <c r="A115" t="s">
        <v>91</v>
      </c>
      <c r="B115" t="s">
        <v>340</v>
      </c>
      <c r="C115" t="s">
        <v>15</v>
      </c>
      <c r="D115">
        <v>61</v>
      </c>
      <c r="E115" t="str">
        <f>IF(Table1_1[[#This Row],[Age]]&lt;=18,"CHILD",IF(Table1_1[[#This Row],[Age]]&lt;59,"ADULT","SENIOR"))</f>
        <v>SENIOR</v>
      </c>
      <c r="F115" t="str">
        <f>IF(AND(Table1_1[[#This Row],[Age]]&gt;=60,Table1_1[[#This Row],[Insurance Status]]="INSURED"),"SENIOR ELIGIBLE","NOT ELIGIBLE")</f>
        <v>SENIOR ELIGIBLE</v>
      </c>
      <c r="G115" t="s">
        <v>22</v>
      </c>
      <c r="H115" t="s">
        <v>342</v>
      </c>
      <c r="I115" t="s">
        <v>338</v>
      </c>
      <c r="J115" s="1">
        <v>46166</v>
      </c>
      <c r="K115" s="1">
        <v>46175</v>
      </c>
      <c r="L115" t="s">
        <v>332</v>
      </c>
      <c r="M115" t="s">
        <v>328</v>
      </c>
      <c r="N115">
        <v>31129</v>
      </c>
      <c r="O115" t="str">
        <f>IF(OR(Table1_1[[#This Row],[Treatment Cost]]&gt;=20000,Table1_1[[#Headers],[Room Type]]="ICU"),"HIGH COST","NORMAL COST")</f>
        <v>HIGH COST</v>
      </c>
      <c r="P115" t="s">
        <v>331</v>
      </c>
      <c r="Q115" t="s">
        <v>323</v>
      </c>
    </row>
    <row r="116" spans="1:17" x14ac:dyDescent="0.35">
      <c r="A116" t="s">
        <v>251</v>
      </c>
      <c r="B116" t="s">
        <v>318</v>
      </c>
      <c r="C116" t="s">
        <v>15</v>
      </c>
      <c r="D116">
        <v>28</v>
      </c>
      <c r="E116" t="str">
        <f>IF(Table1_1[[#This Row],[Age]]&lt;=18,"CHILD",IF(Table1_1[[#This Row],[Age]]&lt;59,"ADULT","SENIOR"))</f>
        <v>ADULT</v>
      </c>
      <c r="F116" t="str">
        <f>IF(AND(Table1_1[[#This Row],[Age]]&gt;=60,Table1_1[[#This Row],[Insurance Status]]="INSURED"),"SENIOR ELIGIBLE","NOT ELIGIBLE")</f>
        <v>NOT ELIGIBLE</v>
      </c>
      <c r="G116" t="s">
        <v>22</v>
      </c>
      <c r="H116" t="s">
        <v>319</v>
      </c>
      <c r="I116" t="s">
        <v>336</v>
      </c>
      <c r="J116" s="1">
        <v>46104</v>
      </c>
      <c r="K116" s="1">
        <v>46109</v>
      </c>
      <c r="L116" t="s">
        <v>332</v>
      </c>
      <c r="M116" t="s">
        <v>330</v>
      </c>
      <c r="N116">
        <v>31040</v>
      </c>
      <c r="O116" t="str">
        <f>IF(OR(Table1_1[[#This Row],[Treatment Cost]]&gt;=20000,Table1_1[[#Headers],[Room Type]]="ICU"),"HIGH COST","NORMAL COST")</f>
        <v>HIGH COST</v>
      </c>
      <c r="P116" t="s">
        <v>331</v>
      </c>
      <c r="Q116" t="s">
        <v>323</v>
      </c>
    </row>
    <row r="117" spans="1:17" x14ac:dyDescent="0.35">
      <c r="A117" t="s">
        <v>58</v>
      </c>
      <c r="B117" t="s">
        <v>324</v>
      </c>
      <c r="C117" t="s">
        <v>19</v>
      </c>
      <c r="D117">
        <v>48</v>
      </c>
      <c r="E117" t="str">
        <f>IF(Table1_1[[#This Row],[Age]]&lt;=18,"CHILD",IF(Table1_1[[#This Row],[Age]]&lt;59,"ADULT","SENIOR"))</f>
        <v>ADULT</v>
      </c>
      <c r="F117" t="str">
        <f>IF(AND(Table1_1[[#This Row],[Age]]&gt;=60,Table1_1[[#This Row],[Insurance Status]]="INSURED"),"SENIOR ELIGIBLE","NOT ELIGIBLE")</f>
        <v>NOT ELIGIBLE</v>
      </c>
      <c r="G117" t="s">
        <v>16</v>
      </c>
      <c r="H117" t="s">
        <v>342</v>
      </c>
      <c r="I117" t="s">
        <v>326</v>
      </c>
      <c r="J117" s="1">
        <v>46109</v>
      </c>
      <c r="K117" s="1">
        <v>46113</v>
      </c>
      <c r="L117" t="s">
        <v>17</v>
      </c>
      <c r="M117" t="s">
        <v>321</v>
      </c>
      <c r="N117">
        <v>30789</v>
      </c>
      <c r="O117" t="str">
        <f>IF(OR(Table1_1[[#This Row],[Treatment Cost]]&gt;=20000,Table1_1[[#Headers],[Room Type]]="ICU"),"HIGH COST","NORMAL COST")</f>
        <v>HIGH COST</v>
      </c>
      <c r="P117" t="s">
        <v>322</v>
      </c>
      <c r="Q117" t="s">
        <v>23</v>
      </c>
    </row>
    <row r="118" spans="1:17" x14ac:dyDescent="0.35">
      <c r="A118" t="s">
        <v>214</v>
      </c>
      <c r="B118" t="s">
        <v>324</v>
      </c>
      <c r="C118" t="s">
        <v>15</v>
      </c>
      <c r="D118">
        <v>20</v>
      </c>
      <c r="E118" t="str">
        <f>IF(Table1_1[[#This Row],[Age]]&lt;=18,"CHILD",IF(Table1_1[[#This Row],[Age]]&lt;59,"ADULT","SENIOR"))</f>
        <v>ADULT</v>
      </c>
      <c r="F118" t="str">
        <f>IF(AND(Table1_1[[#This Row],[Age]]&gt;=60,Table1_1[[#This Row],[Insurance Status]]="INSURED"),"SENIOR ELIGIBLE","NOT ELIGIBLE")</f>
        <v>NOT ELIGIBLE</v>
      </c>
      <c r="G118" t="s">
        <v>20</v>
      </c>
      <c r="H118" t="s">
        <v>325</v>
      </c>
      <c r="I118" t="s">
        <v>320</v>
      </c>
      <c r="J118" s="1">
        <v>46183</v>
      </c>
      <c r="K118" s="1">
        <v>46188</v>
      </c>
      <c r="L118" t="s">
        <v>339</v>
      </c>
      <c r="M118" t="s">
        <v>335</v>
      </c>
      <c r="N118">
        <v>30724</v>
      </c>
      <c r="O118" t="str">
        <f>IF(OR(Table1_1[[#This Row],[Treatment Cost]]&gt;=20000,Table1_1[[#Headers],[Room Type]]="ICU"),"HIGH COST","NORMAL COST")</f>
        <v>HIGH COST</v>
      </c>
      <c r="P118" t="s">
        <v>331</v>
      </c>
      <c r="Q118" t="s">
        <v>23</v>
      </c>
    </row>
    <row r="119" spans="1:17" x14ac:dyDescent="0.35">
      <c r="A119" t="s">
        <v>136</v>
      </c>
      <c r="B119" t="s">
        <v>337</v>
      </c>
      <c r="C119" t="s">
        <v>15</v>
      </c>
      <c r="D119">
        <v>24</v>
      </c>
      <c r="E119" t="str">
        <f>IF(Table1_1[[#This Row],[Age]]&lt;=18,"CHILD",IF(Table1_1[[#This Row],[Age]]&lt;59,"ADULT","SENIOR"))</f>
        <v>ADULT</v>
      </c>
      <c r="F119" t="str">
        <f>IF(AND(Table1_1[[#This Row],[Age]]&gt;=60,Table1_1[[#This Row],[Insurance Status]]="INSURED"),"SENIOR ELIGIBLE","NOT ELIGIBLE")</f>
        <v>NOT ELIGIBLE</v>
      </c>
      <c r="G119" t="s">
        <v>22</v>
      </c>
      <c r="H119" t="s">
        <v>319</v>
      </c>
      <c r="I119" t="s">
        <v>336</v>
      </c>
      <c r="J119" s="1">
        <v>46198</v>
      </c>
      <c r="K119" s="1">
        <v>46204</v>
      </c>
      <c r="L119" t="s">
        <v>332</v>
      </c>
      <c r="M119" t="s">
        <v>330</v>
      </c>
      <c r="N119">
        <v>30664</v>
      </c>
      <c r="O119" t="str">
        <f>IF(OR(Table1_1[[#This Row],[Treatment Cost]]&gt;=20000,Table1_1[[#Headers],[Room Type]]="ICU"),"HIGH COST","NORMAL COST")</f>
        <v>HIGH COST</v>
      </c>
      <c r="P119" t="s">
        <v>322</v>
      </c>
      <c r="Q119" t="s">
        <v>323</v>
      </c>
    </row>
    <row r="120" spans="1:17" x14ac:dyDescent="0.35">
      <c r="A120" t="s">
        <v>102</v>
      </c>
      <c r="B120" t="s">
        <v>341</v>
      </c>
      <c r="C120" t="s">
        <v>19</v>
      </c>
      <c r="D120">
        <v>73</v>
      </c>
      <c r="E120" t="str">
        <f>IF(Table1_1[[#This Row],[Age]]&lt;=18,"CHILD",IF(Table1_1[[#This Row],[Age]]&lt;59,"ADULT","SENIOR"))</f>
        <v>SENIOR</v>
      </c>
      <c r="F120" t="str">
        <f>IF(AND(Table1_1[[#This Row],[Age]]&gt;=60,Table1_1[[#This Row],[Insurance Status]]="INSURED"),"SENIOR ELIGIBLE","NOT ELIGIBLE")</f>
        <v>NOT ELIGIBLE</v>
      </c>
      <c r="G120" t="s">
        <v>20</v>
      </c>
      <c r="H120" t="s">
        <v>319</v>
      </c>
      <c r="I120" t="s">
        <v>338</v>
      </c>
      <c r="J120" s="1">
        <v>46139</v>
      </c>
      <c r="K120" s="1">
        <v>46145</v>
      </c>
      <c r="L120" t="s">
        <v>339</v>
      </c>
      <c r="M120" t="s">
        <v>328</v>
      </c>
      <c r="N120">
        <v>30552</v>
      </c>
      <c r="O120" t="str">
        <f>IF(OR(Table1_1[[#This Row],[Treatment Cost]]&gt;=20000,Table1_1[[#Headers],[Room Type]]="ICU"),"HIGH COST","NORMAL COST")</f>
        <v>HIGH COST</v>
      </c>
      <c r="P120" t="s">
        <v>322</v>
      </c>
      <c r="Q120" t="s">
        <v>323</v>
      </c>
    </row>
    <row r="121" spans="1:17" x14ac:dyDescent="0.35">
      <c r="A121" t="s">
        <v>262</v>
      </c>
      <c r="B121" t="s">
        <v>337</v>
      </c>
      <c r="C121" t="s">
        <v>15</v>
      </c>
      <c r="D121">
        <v>54</v>
      </c>
      <c r="E121" t="str">
        <f>IF(Table1_1[[#This Row],[Age]]&lt;=18,"CHILD",IF(Table1_1[[#This Row],[Age]]&lt;59,"ADULT","SENIOR"))</f>
        <v>ADULT</v>
      </c>
      <c r="F121" t="str">
        <f>IF(AND(Table1_1[[#This Row],[Age]]&gt;=60,Table1_1[[#This Row],[Insurance Status]]="INSURED"),"SENIOR ELIGIBLE","NOT ELIGIBLE")</f>
        <v>NOT ELIGIBLE</v>
      </c>
      <c r="G121" t="s">
        <v>16</v>
      </c>
      <c r="H121" t="s">
        <v>325</v>
      </c>
      <c r="I121" t="s">
        <v>326</v>
      </c>
      <c r="J121" s="1">
        <v>46180</v>
      </c>
      <c r="K121" s="1">
        <v>46181</v>
      </c>
      <c r="L121" t="s">
        <v>339</v>
      </c>
      <c r="M121" t="s">
        <v>335</v>
      </c>
      <c r="N121">
        <v>30023</v>
      </c>
      <c r="O121" t="str">
        <f>IF(OR(Table1_1[[#This Row],[Treatment Cost]]&gt;=20000,Table1_1[[#Headers],[Room Type]]="ICU"),"HIGH COST","NORMAL COST")</f>
        <v>HIGH COST</v>
      </c>
      <c r="P121" t="s">
        <v>331</v>
      </c>
      <c r="Q121" t="s">
        <v>333</v>
      </c>
    </row>
    <row r="122" spans="1:17" x14ac:dyDescent="0.35">
      <c r="A122" t="s">
        <v>242</v>
      </c>
      <c r="B122" t="s">
        <v>334</v>
      </c>
      <c r="C122" t="s">
        <v>19</v>
      </c>
      <c r="D122">
        <v>60</v>
      </c>
      <c r="E122" t="str">
        <f>IF(Table1_1[[#This Row],[Age]]&lt;=18,"CHILD",IF(Table1_1[[#This Row],[Age]]&lt;59,"ADULT","SENIOR"))</f>
        <v>SENIOR</v>
      </c>
      <c r="F122" t="str">
        <f>IF(AND(Table1_1[[#This Row],[Age]]&gt;=60,Table1_1[[#This Row],[Insurance Status]]="INSURED"),"SENIOR ELIGIBLE","NOT ELIGIBLE")</f>
        <v>NOT ELIGIBLE</v>
      </c>
      <c r="G122" t="s">
        <v>20</v>
      </c>
      <c r="H122" t="s">
        <v>329</v>
      </c>
      <c r="I122" t="s">
        <v>320</v>
      </c>
      <c r="J122" s="1">
        <v>46085</v>
      </c>
      <c r="K122" s="1">
        <v>46094</v>
      </c>
      <c r="L122" t="s">
        <v>17</v>
      </c>
      <c r="M122" t="s">
        <v>328</v>
      </c>
      <c r="N122">
        <v>29812</v>
      </c>
      <c r="O122" t="str">
        <f>IF(OR(Table1_1[[#This Row],[Treatment Cost]]&gt;=20000,Table1_1[[#Headers],[Room Type]]="ICU"),"HIGH COST","NORMAL COST")</f>
        <v>HIGH COST</v>
      </c>
      <c r="P122" t="s">
        <v>322</v>
      </c>
      <c r="Q122" t="s">
        <v>323</v>
      </c>
    </row>
    <row r="123" spans="1:17" x14ac:dyDescent="0.35">
      <c r="A123" t="s">
        <v>21</v>
      </c>
      <c r="B123" t="s">
        <v>324</v>
      </c>
      <c r="C123" t="s">
        <v>19</v>
      </c>
      <c r="D123">
        <v>30</v>
      </c>
      <c r="E123" t="str">
        <f>IF(Table1_1[[#This Row],[Age]]&lt;=18,"CHILD",IF(Table1_1[[#This Row],[Age]]&lt;59,"ADULT","SENIOR"))</f>
        <v>ADULT</v>
      </c>
      <c r="F123" t="str">
        <f>IF(AND(Table1_1[[#This Row],[Age]]&gt;=60,Table1_1[[#This Row],[Insurance Status]]="INSURED"),"SENIOR ELIGIBLE","NOT ELIGIBLE")</f>
        <v>NOT ELIGIBLE</v>
      </c>
      <c r="G123" t="s">
        <v>22</v>
      </c>
      <c r="H123" t="s">
        <v>329</v>
      </c>
      <c r="I123" t="s">
        <v>320</v>
      </c>
      <c r="J123" s="1">
        <v>46094</v>
      </c>
      <c r="K123" s="1">
        <v>46102</v>
      </c>
      <c r="L123" t="s">
        <v>327</v>
      </c>
      <c r="M123" t="s">
        <v>330</v>
      </c>
      <c r="N123">
        <v>29659</v>
      </c>
      <c r="O123" t="str">
        <f>IF(OR(Table1_1[[#This Row],[Treatment Cost]]&gt;=20000,Table1_1[[#Headers],[Room Type]]="ICU"),"HIGH COST","NORMAL COST")</f>
        <v>HIGH COST</v>
      </c>
      <c r="P123" t="s">
        <v>331</v>
      </c>
      <c r="Q123" t="s">
        <v>23</v>
      </c>
    </row>
    <row r="124" spans="1:17" x14ac:dyDescent="0.35">
      <c r="A124" t="s">
        <v>115</v>
      </c>
      <c r="B124" t="s">
        <v>334</v>
      </c>
      <c r="C124" t="s">
        <v>15</v>
      </c>
      <c r="D124">
        <v>37</v>
      </c>
      <c r="E124" t="str">
        <f>IF(Table1_1[[#This Row],[Age]]&lt;=18,"CHILD",IF(Table1_1[[#This Row],[Age]]&lt;59,"ADULT","SENIOR"))</f>
        <v>ADULT</v>
      </c>
      <c r="F124" t="str">
        <f>IF(AND(Table1_1[[#This Row],[Age]]&gt;=60,Table1_1[[#This Row],[Insurance Status]]="INSURED"),"SENIOR ELIGIBLE","NOT ELIGIBLE")</f>
        <v>NOT ELIGIBLE</v>
      </c>
      <c r="G124" t="s">
        <v>22</v>
      </c>
      <c r="H124" t="s">
        <v>325</v>
      </c>
      <c r="I124" t="s">
        <v>320</v>
      </c>
      <c r="J124" s="1">
        <v>46023</v>
      </c>
      <c r="K124" s="1">
        <v>46026</v>
      </c>
      <c r="L124" t="s">
        <v>17</v>
      </c>
      <c r="M124" t="s">
        <v>335</v>
      </c>
      <c r="N124">
        <v>29550</v>
      </c>
      <c r="O124" t="str">
        <f>IF(OR(Table1_1[[#This Row],[Treatment Cost]]&gt;=20000,Table1_1[[#Headers],[Room Type]]="ICU"),"HIGH COST","NORMAL COST")</f>
        <v>HIGH COST</v>
      </c>
      <c r="P124" t="s">
        <v>331</v>
      </c>
      <c r="Q124" t="s">
        <v>333</v>
      </c>
    </row>
    <row r="125" spans="1:17" x14ac:dyDescent="0.35">
      <c r="A125" t="s">
        <v>54</v>
      </c>
      <c r="B125" t="s">
        <v>341</v>
      </c>
      <c r="C125" t="s">
        <v>19</v>
      </c>
      <c r="D125">
        <v>35</v>
      </c>
      <c r="E125" t="str">
        <f>IF(Table1_1[[#This Row],[Age]]&lt;=18,"CHILD",IF(Table1_1[[#This Row],[Age]]&lt;59,"ADULT","SENIOR"))</f>
        <v>ADULT</v>
      </c>
      <c r="F125" t="str">
        <f>IF(AND(Table1_1[[#This Row],[Age]]&gt;=60,Table1_1[[#This Row],[Insurance Status]]="INSURED"),"SENIOR ELIGIBLE","NOT ELIGIBLE")</f>
        <v>NOT ELIGIBLE</v>
      </c>
      <c r="G125" t="s">
        <v>20</v>
      </c>
      <c r="H125" t="s">
        <v>325</v>
      </c>
      <c r="I125" t="s">
        <v>320</v>
      </c>
      <c r="J125" s="1">
        <v>46150</v>
      </c>
      <c r="K125" s="1">
        <v>46151</v>
      </c>
      <c r="L125" t="s">
        <v>327</v>
      </c>
      <c r="M125" t="s">
        <v>328</v>
      </c>
      <c r="N125">
        <v>29270</v>
      </c>
      <c r="O125" t="str">
        <f>IF(OR(Table1_1[[#This Row],[Treatment Cost]]&gt;=20000,Table1_1[[#Headers],[Room Type]]="ICU"),"HIGH COST","NORMAL COST")</f>
        <v>HIGH COST</v>
      </c>
      <c r="P125" t="s">
        <v>322</v>
      </c>
      <c r="Q125" t="s">
        <v>23</v>
      </c>
    </row>
    <row r="126" spans="1:17" x14ac:dyDescent="0.35">
      <c r="A126" t="s">
        <v>231</v>
      </c>
      <c r="B126" t="s">
        <v>324</v>
      </c>
      <c r="C126" t="s">
        <v>19</v>
      </c>
      <c r="D126">
        <v>23</v>
      </c>
      <c r="E126" t="str">
        <f>IF(Table1_1[[#This Row],[Age]]&lt;=18,"CHILD",IF(Table1_1[[#This Row],[Age]]&lt;59,"ADULT","SENIOR"))</f>
        <v>ADULT</v>
      </c>
      <c r="F126" t="str">
        <f>IF(AND(Table1_1[[#This Row],[Age]]&gt;=60,Table1_1[[#This Row],[Insurance Status]]="INSURED"),"SENIOR ELIGIBLE","NOT ELIGIBLE")</f>
        <v>NOT ELIGIBLE</v>
      </c>
      <c r="G126" t="s">
        <v>20</v>
      </c>
      <c r="H126" t="s">
        <v>319</v>
      </c>
      <c r="I126" t="s">
        <v>338</v>
      </c>
      <c r="J126" s="1">
        <v>46145</v>
      </c>
      <c r="K126" s="1">
        <v>46154</v>
      </c>
      <c r="L126" t="s">
        <v>17</v>
      </c>
      <c r="M126" t="s">
        <v>330</v>
      </c>
      <c r="N126">
        <v>29171</v>
      </c>
      <c r="O126" t="str">
        <f>IF(OR(Table1_1[[#This Row],[Treatment Cost]]&gt;=20000,Table1_1[[#Headers],[Room Type]]="ICU"),"HIGH COST","NORMAL COST")</f>
        <v>HIGH COST</v>
      </c>
      <c r="P126" t="s">
        <v>322</v>
      </c>
      <c r="Q126" t="s">
        <v>333</v>
      </c>
    </row>
    <row r="127" spans="1:17" x14ac:dyDescent="0.35">
      <c r="A127" t="s">
        <v>148</v>
      </c>
      <c r="B127" t="s">
        <v>341</v>
      </c>
      <c r="C127" t="s">
        <v>15</v>
      </c>
      <c r="D127">
        <v>76</v>
      </c>
      <c r="E127" t="str">
        <f>IF(Table1_1[[#This Row],[Age]]&lt;=18,"CHILD",IF(Table1_1[[#This Row],[Age]]&lt;59,"ADULT","SENIOR"))</f>
        <v>SENIOR</v>
      </c>
      <c r="F127" t="str">
        <f>IF(AND(Table1_1[[#This Row],[Age]]&gt;=60,Table1_1[[#This Row],[Insurance Status]]="INSURED"),"SENIOR ELIGIBLE","NOT ELIGIBLE")</f>
        <v>NOT ELIGIBLE</v>
      </c>
      <c r="G127" t="s">
        <v>20</v>
      </c>
      <c r="H127" t="s">
        <v>319</v>
      </c>
      <c r="I127" t="s">
        <v>336</v>
      </c>
      <c r="J127" s="1">
        <v>46024</v>
      </c>
      <c r="K127" s="1">
        <v>46026</v>
      </c>
      <c r="L127" t="s">
        <v>17</v>
      </c>
      <c r="M127" t="s">
        <v>335</v>
      </c>
      <c r="N127">
        <v>28688</v>
      </c>
      <c r="O127" t="str">
        <f>IF(OR(Table1_1[[#This Row],[Treatment Cost]]&gt;=20000,Table1_1[[#Headers],[Room Type]]="ICU"),"HIGH COST","NORMAL COST")</f>
        <v>HIGH COST</v>
      </c>
      <c r="P127" t="s">
        <v>322</v>
      </c>
      <c r="Q127" t="s">
        <v>323</v>
      </c>
    </row>
    <row r="128" spans="1:17" x14ac:dyDescent="0.35">
      <c r="A128" t="s">
        <v>29</v>
      </c>
      <c r="B128" t="s">
        <v>337</v>
      </c>
      <c r="C128" t="s">
        <v>19</v>
      </c>
      <c r="D128">
        <v>29</v>
      </c>
      <c r="E128" t="str">
        <f>IF(Table1_1[[#This Row],[Age]]&lt;=18,"CHILD",IF(Table1_1[[#This Row],[Age]]&lt;59,"ADULT","SENIOR"))</f>
        <v>ADULT</v>
      </c>
      <c r="F128" t="str">
        <f>IF(AND(Table1_1[[#This Row],[Age]]&gt;=60,Table1_1[[#This Row],[Insurance Status]]="INSURED"),"SENIOR ELIGIBLE","NOT ELIGIBLE")</f>
        <v>NOT ELIGIBLE</v>
      </c>
      <c r="G128" t="s">
        <v>16</v>
      </c>
      <c r="H128" t="s">
        <v>329</v>
      </c>
      <c r="I128" t="s">
        <v>320</v>
      </c>
      <c r="J128" s="1">
        <v>46062</v>
      </c>
      <c r="K128" s="1">
        <v>46067</v>
      </c>
      <c r="L128" t="s">
        <v>339</v>
      </c>
      <c r="M128" t="s">
        <v>321</v>
      </c>
      <c r="N128">
        <v>28635</v>
      </c>
      <c r="O128" t="str">
        <f>IF(OR(Table1_1[[#This Row],[Treatment Cost]]&gt;=20000,Table1_1[[#Headers],[Room Type]]="ICU"),"HIGH COST","NORMAL COST")</f>
        <v>HIGH COST</v>
      </c>
      <c r="P128" t="s">
        <v>322</v>
      </c>
      <c r="Q128" t="s">
        <v>23</v>
      </c>
    </row>
    <row r="129" spans="1:17" x14ac:dyDescent="0.35">
      <c r="A129" t="s">
        <v>40</v>
      </c>
      <c r="B129" t="s">
        <v>341</v>
      </c>
      <c r="C129" t="s">
        <v>15</v>
      </c>
      <c r="D129">
        <v>77</v>
      </c>
      <c r="E129" t="str">
        <f>IF(Table1_1[[#This Row],[Age]]&lt;=18,"CHILD",IF(Table1_1[[#This Row],[Age]]&lt;59,"ADULT","SENIOR"))</f>
        <v>SENIOR</v>
      </c>
      <c r="F129" t="str">
        <f>IF(AND(Table1_1[[#This Row],[Age]]&gt;=60,Table1_1[[#This Row],[Insurance Status]]="INSURED"),"SENIOR ELIGIBLE","NOT ELIGIBLE")</f>
        <v>SENIOR ELIGIBLE</v>
      </c>
      <c r="G129" t="s">
        <v>20</v>
      </c>
      <c r="H129" t="s">
        <v>319</v>
      </c>
      <c r="I129" t="s">
        <v>320</v>
      </c>
      <c r="J129" s="1">
        <v>46039</v>
      </c>
      <c r="K129" s="1">
        <v>46045</v>
      </c>
      <c r="L129" t="s">
        <v>17</v>
      </c>
      <c r="M129" t="s">
        <v>328</v>
      </c>
      <c r="N129">
        <v>28403</v>
      </c>
      <c r="O129" t="str">
        <f>IF(OR(Table1_1[[#This Row],[Treatment Cost]]&gt;=20000,Table1_1[[#Headers],[Room Type]]="ICU"),"HIGH COST","NORMAL COST")</f>
        <v>HIGH COST</v>
      </c>
      <c r="P129" t="s">
        <v>331</v>
      </c>
      <c r="Q129" t="s">
        <v>333</v>
      </c>
    </row>
    <row r="130" spans="1:17" x14ac:dyDescent="0.35">
      <c r="A130" t="s">
        <v>103</v>
      </c>
      <c r="B130" t="s">
        <v>318</v>
      </c>
      <c r="C130" t="s">
        <v>19</v>
      </c>
      <c r="D130">
        <v>64</v>
      </c>
      <c r="E130" t="str">
        <f>IF(Table1_1[[#This Row],[Age]]&lt;=18,"CHILD",IF(Table1_1[[#This Row],[Age]]&lt;59,"ADULT","SENIOR"))</f>
        <v>SENIOR</v>
      </c>
      <c r="F130" t="str">
        <f>IF(AND(Table1_1[[#This Row],[Age]]&gt;=60,Table1_1[[#This Row],[Insurance Status]]="INSURED"),"SENIOR ELIGIBLE","NOT ELIGIBLE")</f>
        <v>SENIOR ELIGIBLE</v>
      </c>
      <c r="G130" t="s">
        <v>26</v>
      </c>
      <c r="H130" t="s">
        <v>325</v>
      </c>
      <c r="I130" t="s">
        <v>320</v>
      </c>
      <c r="J130" s="1">
        <v>46129</v>
      </c>
      <c r="K130" s="1">
        <v>46135</v>
      </c>
      <c r="L130" t="s">
        <v>339</v>
      </c>
      <c r="M130" t="s">
        <v>335</v>
      </c>
      <c r="N130">
        <v>28354</v>
      </c>
      <c r="O130" t="str">
        <f>IF(OR(Table1_1[[#This Row],[Treatment Cost]]&gt;=20000,Table1_1[[#Headers],[Room Type]]="ICU"),"HIGH COST","NORMAL COST")</f>
        <v>HIGH COST</v>
      </c>
      <c r="P130" t="s">
        <v>331</v>
      </c>
      <c r="Q130" t="s">
        <v>333</v>
      </c>
    </row>
    <row r="131" spans="1:17" x14ac:dyDescent="0.35">
      <c r="A131" t="s">
        <v>104</v>
      </c>
      <c r="B131" t="s">
        <v>334</v>
      </c>
      <c r="C131" t="s">
        <v>15</v>
      </c>
      <c r="D131">
        <v>18</v>
      </c>
      <c r="E131" t="str">
        <f>IF(Table1_1[[#This Row],[Age]]&lt;=18,"CHILD",IF(Table1_1[[#This Row],[Age]]&lt;59,"ADULT","SENIOR"))</f>
        <v>CHILD</v>
      </c>
      <c r="F131" t="str">
        <f>IF(AND(Table1_1[[#This Row],[Age]]&gt;=60,Table1_1[[#This Row],[Insurance Status]]="INSURED"),"SENIOR ELIGIBLE","NOT ELIGIBLE")</f>
        <v>NOT ELIGIBLE</v>
      </c>
      <c r="G131" t="s">
        <v>16</v>
      </c>
      <c r="H131" t="s">
        <v>342</v>
      </c>
      <c r="I131" t="s">
        <v>320</v>
      </c>
      <c r="J131" s="1">
        <v>46046</v>
      </c>
      <c r="K131" s="1">
        <v>46050</v>
      </c>
      <c r="L131" t="s">
        <v>327</v>
      </c>
      <c r="M131" t="s">
        <v>321</v>
      </c>
      <c r="N131">
        <v>28194</v>
      </c>
      <c r="O131" t="str">
        <f>IF(OR(Table1_1[[#This Row],[Treatment Cost]]&gt;=20000,Table1_1[[#Headers],[Room Type]]="ICU"),"HIGH COST","NORMAL COST")</f>
        <v>HIGH COST</v>
      </c>
      <c r="P131" t="s">
        <v>322</v>
      </c>
      <c r="Q131" t="s">
        <v>23</v>
      </c>
    </row>
    <row r="132" spans="1:17" x14ac:dyDescent="0.35">
      <c r="A132" t="s">
        <v>80</v>
      </c>
      <c r="B132" t="s">
        <v>324</v>
      </c>
      <c r="C132" t="s">
        <v>19</v>
      </c>
      <c r="D132">
        <v>70</v>
      </c>
      <c r="E132" t="str">
        <f>IF(Table1_1[[#This Row],[Age]]&lt;=18,"CHILD",IF(Table1_1[[#This Row],[Age]]&lt;59,"ADULT","SENIOR"))</f>
        <v>SENIOR</v>
      </c>
      <c r="F132" t="str">
        <f>IF(AND(Table1_1[[#This Row],[Age]]&gt;=60,Table1_1[[#This Row],[Insurance Status]]="INSURED"),"SENIOR ELIGIBLE","NOT ELIGIBLE")</f>
        <v>SENIOR ELIGIBLE</v>
      </c>
      <c r="G132" t="s">
        <v>20</v>
      </c>
      <c r="H132" t="s">
        <v>325</v>
      </c>
      <c r="I132" t="s">
        <v>338</v>
      </c>
      <c r="J132" s="1">
        <v>46105</v>
      </c>
      <c r="K132" s="1">
        <v>46110</v>
      </c>
      <c r="L132" t="s">
        <v>17</v>
      </c>
      <c r="M132" t="s">
        <v>330</v>
      </c>
      <c r="N132">
        <v>28192</v>
      </c>
      <c r="O132" t="str">
        <f>IF(OR(Table1_1[[#This Row],[Treatment Cost]]&gt;=20000,Table1_1[[#Headers],[Room Type]]="ICU"),"HIGH COST","NORMAL COST")</f>
        <v>HIGH COST</v>
      </c>
      <c r="P132" t="s">
        <v>331</v>
      </c>
      <c r="Q132" t="s">
        <v>23</v>
      </c>
    </row>
    <row r="133" spans="1:17" x14ac:dyDescent="0.35">
      <c r="A133" t="s">
        <v>224</v>
      </c>
      <c r="B133" t="s">
        <v>337</v>
      </c>
      <c r="C133" t="s">
        <v>15</v>
      </c>
      <c r="D133">
        <v>21</v>
      </c>
      <c r="E133" t="str">
        <f>IF(Table1_1[[#This Row],[Age]]&lt;=18,"CHILD",IF(Table1_1[[#This Row],[Age]]&lt;59,"ADULT","SENIOR"))</f>
        <v>ADULT</v>
      </c>
      <c r="F133" t="str">
        <f>IF(AND(Table1_1[[#This Row],[Age]]&gt;=60,Table1_1[[#This Row],[Insurance Status]]="INSURED"),"SENIOR ELIGIBLE","NOT ELIGIBLE")</f>
        <v>NOT ELIGIBLE</v>
      </c>
      <c r="G133" t="s">
        <v>26</v>
      </c>
      <c r="H133" t="s">
        <v>342</v>
      </c>
      <c r="I133" t="s">
        <v>338</v>
      </c>
      <c r="J133" s="1">
        <v>46063</v>
      </c>
      <c r="K133" s="1">
        <v>46069</v>
      </c>
      <c r="L133" t="s">
        <v>339</v>
      </c>
      <c r="M133" t="s">
        <v>335</v>
      </c>
      <c r="N133">
        <v>27736</v>
      </c>
      <c r="O133" t="str">
        <f>IF(OR(Table1_1[[#This Row],[Treatment Cost]]&gt;=20000,Table1_1[[#Headers],[Room Type]]="ICU"),"HIGH COST","NORMAL COST")</f>
        <v>HIGH COST</v>
      </c>
      <c r="P133" t="s">
        <v>331</v>
      </c>
      <c r="Q133" t="s">
        <v>323</v>
      </c>
    </row>
    <row r="134" spans="1:17" x14ac:dyDescent="0.35">
      <c r="A134" t="s">
        <v>95</v>
      </c>
      <c r="B134" t="s">
        <v>318</v>
      </c>
      <c r="C134" t="s">
        <v>15</v>
      </c>
      <c r="D134">
        <v>70</v>
      </c>
      <c r="E134" t="str">
        <f>IF(Table1_1[[#This Row],[Age]]&lt;=18,"CHILD",IF(Table1_1[[#This Row],[Age]]&lt;59,"ADULT","SENIOR"))</f>
        <v>SENIOR</v>
      </c>
      <c r="F134" t="str">
        <f>IF(AND(Table1_1[[#This Row],[Age]]&gt;=60,Table1_1[[#This Row],[Insurance Status]]="INSURED"),"SENIOR ELIGIBLE","NOT ELIGIBLE")</f>
        <v>SENIOR ELIGIBLE</v>
      </c>
      <c r="G134" t="s">
        <v>20</v>
      </c>
      <c r="H134" t="s">
        <v>319</v>
      </c>
      <c r="I134" t="s">
        <v>336</v>
      </c>
      <c r="J134" s="1">
        <v>46104</v>
      </c>
      <c r="K134" s="1">
        <v>46112</v>
      </c>
      <c r="L134" t="s">
        <v>339</v>
      </c>
      <c r="M134" t="s">
        <v>321</v>
      </c>
      <c r="N134">
        <v>27687</v>
      </c>
      <c r="O134" t="str">
        <f>IF(OR(Table1_1[[#This Row],[Treatment Cost]]&gt;=20000,Table1_1[[#Headers],[Room Type]]="ICU"),"HIGH COST","NORMAL COST")</f>
        <v>HIGH COST</v>
      </c>
      <c r="P134" t="s">
        <v>331</v>
      </c>
      <c r="Q134" t="s">
        <v>333</v>
      </c>
    </row>
    <row r="135" spans="1:17" x14ac:dyDescent="0.35">
      <c r="A135" t="s">
        <v>126</v>
      </c>
      <c r="B135" t="s">
        <v>318</v>
      </c>
      <c r="C135" t="s">
        <v>15</v>
      </c>
      <c r="D135">
        <v>79</v>
      </c>
      <c r="E135" t="str">
        <f>IF(Table1_1[[#This Row],[Age]]&lt;=18,"CHILD",IF(Table1_1[[#This Row],[Age]]&lt;59,"ADULT","SENIOR"))</f>
        <v>SENIOR</v>
      </c>
      <c r="F135" t="str">
        <f>IF(AND(Table1_1[[#This Row],[Age]]&gt;=60,Table1_1[[#This Row],[Insurance Status]]="INSURED"),"SENIOR ELIGIBLE","NOT ELIGIBLE")</f>
        <v>NOT ELIGIBLE</v>
      </c>
      <c r="G135" t="s">
        <v>26</v>
      </c>
      <c r="H135" t="s">
        <v>319</v>
      </c>
      <c r="I135" t="s">
        <v>320</v>
      </c>
      <c r="J135" s="1">
        <v>46034</v>
      </c>
      <c r="K135" s="1">
        <v>46036</v>
      </c>
      <c r="L135" t="s">
        <v>332</v>
      </c>
      <c r="M135" t="s">
        <v>328</v>
      </c>
      <c r="N135">
        <v>27028</v>
      </c>
      <c r="O135" t="str">
        <f>IF(OR(Table1_1[[#This Row],[Treatment Cost]]&gt;=20000,Table1_1[[#Headers],[Room Type]]="ICU"),"HIGH COST","NORMAL COST")</f>
        <v>HIGH COST</v>
      </c>
      <c r="P135" t="s">
        <v>322</v>
      </c>
      <c r="Q135" t="s">
        <v>333</v>
      </c>
    </row>
    <row r="136" spans="1:17" x14ac:dyDescent="0.35">
      <c r="A136" t="s">
        <v>119</v>
      </c>
      <c r="B136" t="s">
        <v>324</v>
      </c>
      <c r="C136" t="s">
        <v>15</v>
      </c>
      <c r="D136">
        <v>43</v>
      </c>
      <c r="E136" t="str">
        <f>IF(Table1_1[[#This Row],[Age]]&lt;=18,"CHILD",IF(Table1_1[[#This Row],[Age]]&lt;59,"ADULT","SENIOR"))</f>
        <v>ADULT</v>
      </c>
      <c r="F136" t="str">
        <f>IF(AND(Table1_1[[#This Row],[Age]]&gt;=60,Table1_1[[#This Row],[Insurance Status]]="INSURED"),"SENIOR ELIGIBLE","NOT ELIGIBLE")</f>
        <v>NOT ELIGIBLE</v>
      </c>
      <c r="G136" t="s">
        <v>22</v>
      </c>
      <c r="H136" t="s">
        <v>329</v>
      </c>
      <c r="I136" t="s">
        <v>336</v>
      </c>
      <c r="J136" s="1">
        <v>46098</v>
      </c>
      <c r="K136" s="1">
        <v>46108</v>
      </c>
      <c r="L136" t="s">
        <v>17</v>
      </c>
      <c r="M136" t="s">
        <v>328</v>
      </c>
      <c r="N136">
        <v>26868</v>
      </c>
      <c r="O136" t="str">
        <f>IF(OR(Table1_1[[#This Row],[Treatment Cost]]&gt;=20000,Table1_1[[#Headers],[Room Type]]="ICU"),"HIGH COST","NORMAL COST")</f>
        <v>HIGH COST</v>
      </c>
      <c r="P136" t="s">
        <v>331</v>
      </c>
      <c r="Q136" t="s">
        <v>323</v>
      </c>
    </row>
    <row r="137" spans="1:17" x14ac:dyDescent="0.35">
      <c r="A137" t="s">
        <v>141</v>
      </c>
      <c r="B137" t="s">
        <v>318</v>
      </c>
      <c r="C137" t="s">
        <v>19</v>
      </c>
      <c r="D137">
        <v>74</v>
      </c>
      <c r="E137" t="str">
        <f>IF(Table1_1[[#This Row],[Age]]&lt;=18,"CHILD",IF(Table1_1[[#This Row],[Age]]&lt;59,"ADULT","SENIOR"))</f>
        <v>SENIOR</v>
      </c>
      <c r="F137" t="str">
        <f>IF(AND(Table1_1[[#This Row],[Age]]&gt;=60,Table1_1[[#This Row],[Insurance Status]]="INSURED"),"SENIOR ELIGIBLE","NOT ELIGIBLE")</f>
        <v>NOT ELIGIBLE</v>
      </c>
      <c r="G137" t="s">
        <v>26</v>
      </c>
      <c r="H137" t="s">
        <v>329</v>
      </c>
      <c r="I137" t="s">
        <v>320</v>
      </c>
      <c r="J137" s="1">
        <v>46079</v>
      </c>
      <c r="K137" s="1">
        <v>46088</v>
      </c>
      <c r="L137" t="s">
        <v>327</v>
      </c>
      <c r="M137" t="s">
        <v>330</v>
      </c>
      <c r="N137">
        <v>26844</v>
      </c>
      <c r="O137" t="str">
        <f>IF(OR(Table1_1[[#This Row],[Treatment Cost]]&gt;=20000,Table1_1[[#Headers],[Room Type]]="ICU"),"HIGH COST","NORMAL COST")</f>
        <v>HIGH COST</v>
      </c>
      <c r="P137" t="s">
        <v>322</v>
      </c>
      <c r="Q137" t="s">
        <v>23</v>
      </c>
    </row>
    <row r="138" spans="1:17" x14ac:dyDescent="0.35">
      <c r="A138" t="s">
        <v>257</v>
      </c>
      <c r="B138" t="s">
        <v>337</v>
      </c>
      <c r="C138" t="s">
        <v>15</v>
      </c>
      <c r="D138">
        <v>26</v>
      </c>
      <c r="E138" t="str">
        <f>IF(Table1_1[[#This Row],[Age]]&lt;=18,"CHILD",IF(Table1_1[[#This Row],[Age]]&lt;59,"ADULT","SENIOR"))</f>
        <v>ADULT</v>
      </c>
      <c r="F138" t="str">
        <f>IF(AND(Table1_1[[#This Row],[Age]]&gt;=60,Table1_1[[#This Row],[Insurance Status]]="INSURED"),"SENIOR ELIGIBLE","NOT ELIGIBLE")</f>
        <v>NOT ELIGIBLE</v>
      </c>
      <c r="G138" t="s">
        <v>16</v>
      </c>
      <c r="H138" t="s">
        <v>329</v>
      </c>
      <c r="I138" t="s">
        <v>320</v>
      </c>
      <c r="J138" s="1">
        <v>46160</v>
      </c>
      <c r="K138" s="1">
        <v>46163</v>
      </c>
      <c r="L138" t="s">
        <v>327</v>
      </c>
      <c r="M138" t="s">
        <v>328</v>
      </c>
      <c r="N138">
        <v>26464</v>
      </c>
      <c r="O138" t="str">
        <f>IF(OR(Table1_1[[#This Row],[Treatment Cost]]&gt;=20000,Table1_1[[#Headers],[Room Type]]="ICU"),"HIGH COST","NORMAL COST")</f>
        <v>HIGH COST</v>
      </c>
      <c r="P138" t="s">
        <v>322</v>
      </c>
      <c r="Q138" t="s">
        <v>323</v>
      </c>
    </row>
    <row r="139" spans="1:17" x14ac:dyDescent="0.35">
      <c r="A139" t="s">
        <v>309</v>
      </c>
      <c r="B139" t="s">
        <v>337</v>
      </c>
      <c r="C139" t="s">
        <v>19</v>
      </c>
      <c r="D139">
        <v>61</v>
      </c>
      <c r="E139" t="str">
        <f>IF(Table1_1[[#This Row],[Age]]&lt;=18,"CHILD",IF(Table1_1[[#This Row],[Age]]&lt;59,"ADULT","SENIOR"))</f>
        <v>SENIOR</v>
      </c>
      <c r="F139" t="str">
        <f>IF(AND(Table1_1[[#This Row],[Age]]&gt;=60,Table1_1[[#This Row],[Insurance Status]]="INSURED"),"SENIOR ELIGIBLE","NOT ELIGIBLE")</f>
        <v>NOT ELIGIBLE</v>
      </c>
      <c r="G139" t="s">
        <v>20</v>
      </c>
      <c r="H139" t="s">
        <v>325</v>
      </c>
      <c r="I139" t="s">
        <v>326</v>
      </c>
      <c r="J139" s="1">
        <v>46133</v>
      </c>
      <c r="K139" s="1">
        <v>46140</v>
      </c>
      <c r="L139" t="s">
        <v>332</v>
      </c>
      <c r="M139" t="s">
        <v>321</v>
      </c>
      <c r="N139">
        <v>26336</v>
      </c>
      <c r="O139" t="str">
        <f>IF(OR(Table1_1[[#This Row],[Treatment Cost]]&gt;=20000,Table1_1[[#Headers],[Room Type]]="ICU"),"HIGH COST","NORMAL COST")</f>
        <v>HIGH COST</v>
      </c>
      <c r="P139" t="s">
        <v>322</v>
      </c>
      <c r="Q139" t="s">
        <v>23</v>
      </c>
    </row>
    <row r="140" spans="1:17" x14ac:dyDescent="0.35">
      <c r="A140" t="s">
        <v>202</v>
      </c>
      <c r="B140" t="s">
        <v>341</v>
      </c>
      <c r="C140" t="s">
        <v>19</v>
      </c>
      <c r="D140">
        <v>41</v>
      </c>
      <c r="E140" t="str">
        <f>IF(Table1_1[[#This Row],[Age]]&lt;=18,"CHILD",IF(Table1_1[[#This Row],[Age]]&lt;59,"ADULT","SENIOR"))</f>
        <v>ADULT</v>
      </c>
      <c r="F140" t="str">
        <f>IF(AND(Table1_1[[#This Row],[Age]]&gt;=60,Table1_1[[#This Row],[Insurance Status]]="INSURED"),"SENIOR ELIGIBLE","NOT ELIGIBLE")</f>
        <v>NOT ELIGIBLE</v>
      </c>
      <c r="G140" t="s">
        <v>16</v>
      </c>
      <c r="H140" t="s">
        <v>325</v>
      </c>
      <c r="I140" t="s">
        <v>336</v>
      </c>
      <c r="J140" s="1">
        <v>46081</v>
      </c>
      <c r="K140" s="1">
        <v>46090</v>
      </c>
      <c r="L140" t="s">
        <v>327</v>
      </c>
      <c r="M140" t="s">
        <v>330</v>
      </c>
      <c r="N140">
        <v>26093</v>
      </c>
      <c r="O140" t="str">
        <f>IF(OR(Table1_1[[#This Row],[Treatment Cost]]&gt;=20000,Table1_1[[#Headers],[Room Type]]="ICU"),"HIGH COST","NORMAL COST")</f>
        <v>HIGH COST</v>
      </c>
      <c r="P140" t="s">
        <v>331</v>
      </c>
      <c r="Q140" t="s">
        <v>333</v>
      </c>
    </row>
    <row r="141" spans="1:17" x14ac:dyDescent="0.35">
      <c r="A141" t="s">
        <v>285</v>
      </c>
      <c r="B141" t="s">
        <v>318</v>
      </c>
      <c r="C141" t="s">
        <v>15</v>
      </c>
      <c r="D141">
        <v>26</v>
      </c>
      <c r="E141" t="str">
        <f>IF(Table1_1[[#This Row],[Age]]&lt;=18,"CHILD",IF(Table1_1[[#This Row],[Age]]&lt;59,"ADULT","SENIOR"))</f>
        <v>ADULT</v>
      </c>
      <c r="F141" t="str">
        <f>IF(AND(Table1_1[[#This Row],[Age]]&gt;=60,Table1_1[[#This Row],[Insurance Status]]="INSURED"),"SENIOR ELIGIBLE","NOT ELIGIBLE")</f>
        <v>NOT ELIGIBLE</v>
      </c>
      <c r="G141" t="s">
        <v>16</v>
      </c>
      <c r="H141" t="s">
        <v>342</v>
      </c>
      <c r="I141" t="s">
        <v>336</v>
      </c>
      <c r="J141" s="1">
        <v>46050</v>
      </c>
      <c r="K141" s="1">
        <v>46054</v>
      </c>
      <c r="L141" t="s">
        <v>332</v>
      </c>
      <c r="M141" t="s">
        <v>335</v>
      </c>
      <c r="N141">
        <v>26082</v>
      </c>
      <c r="O141" t="str">
        <f>IF(OR(Table1_1[[#This Row],[Treatment Cost]]&gt;=20000,Table1_1[[#Headers],[Room Type]]="ICU"),"HIGH COST","NORMAL COST")</f>
        <v>HIGH COST</v>
      </c>
      <c r="P141" t="s">
        <v>331</v>
      </c>
      <c r="Q141" t="s">
        <v>323</v>
      </c>
    </row>
    <row r="142" spans="1:17" x14ac:dyDescent="0.35">
      <c r="A142" t="s">
        <v>77</v>
      </c>
      <c r="B142" t="s">
        <v>340</v>
      </c>
      <c r="C142" t="s">
        <v>19</v>
      </c>
      <c r="D142">
        <v>40</v>
      </c>
      <c r="E142" t="str">
        <f>IF(Table1_1[[#This Row],[Age]]&lt;=18,"CHILD",IF(Table1_1[[#This Row],[Age]]&lt;59,"ADULT","SENIOR"))</f>
        <v>ADULT</v>
      </c>
      <c r="F142" t="str">
        <f>IF(AND(Table1_1[[#This Row],[Age]]&gt;=60,Table1_1[[#This Row],[Insurance Status]]="INSURED"),"SENIOR ELIGIBLE","NOT ELIGIBLE")</f>
        <v>NOT ELIGIBLE</v>
      </c>
      <c r="G142" t="s">
        <v>20</v>
      </c>
      <c r="H142" t="s">
        <v>329</v>
      </c>
      <c r="I142" t="s">
        <v>338</v>
      </c>
      <c r="J142" s="1">
        <v>46035</v>
      </c>
      <c r="K142" s="1">
        <v>46042</v>
      </c>
      <c r="L142" t="s">
        <v>327</v>
      </c>
      <c r="M142" t="s">
        <v>335</v>
      </c>
      <c r="N142">
        <v>25984</v>
      </c>
      <c r="O142" t="str">
        <f>IF(OR(Table1_1[[#This Row],[Treatment Cost]]&gt;=20000,Table1_1[[#Headers],[Room Type]]="ICU"),"HIGH COST","NORMAL COST")</f>
        <v>HIGH COST</v>
      </c>
      <c r="P142" t="s">
        <v>322</v>
      </c>
      <c r="Q142" t="s">
        <v>23</v>
      </c>
    </row>
    <row r="143" spans="1:17" x14ac:dyDescent="0.35">
      <c r="A143" t="s">
        <v>289</v>
      </c>
      <c r="B143" t="s">
        <v>334</v>
      </c>
      <c r="C143" t="s">
        <v>15</v>
      </c>
      <c r="D143">
        <v>83</v>
      </c>
      <c r="E143" t="str">
        <f>IF(Table1_1[[#This Row],[Age]]&lt;=18,"CHILD",IF(Table1_1[[#This Row],[Age]]&lt;59,"ADULT","SENIOR"))</f>
        <v>SENIOR</v>
      </c>
      <c r="F143" t="str">
        <f>IF(AND(Table1_1[[#This Row],[Age]]&gt;=60,Table1_1[[#This Row],[Insurance Status]]="INSURED"),"SENIOR ELIGIBLE","NOT ELIGIBLE")</f>
        <v>SENIOR ELIGIBLE</v>
      </c>
      <c r="G143" t="s">
        <v>20</v>
      </c>
      <c r="H143" t="s">
        <v>342</v>
      </c>
      <c r="I143" t="s">
        <v>338</v>
      </c>
      <c r="J143" s="1">
        <v>46076</v>
      </c>
      <c r="K143" s="1">
        <v>46083</v>
      </c>
      <c r="L143" t="s">
        <v>339</v>
      </c>
      <c r="M143" t="s">
        <v>321</v>
      </c>
      <c r="N143">
        <v>25745</v>
      </c>
      <c r="O143" t="str">
        <f>IF(OR(Table1_1[[#This Row],[Treatment Cost]]&gt;=20000,Table1_1[[#Headers],[Room Type]]="ICU"),"HIGH COST","NORMAL COST")</f>
        <v>HIGH COST</v>
      </c>
      <c r="P143" t="s">
        <v>331</v>
      </c>
      <c r="Q143" t="s">
        <v>323</v>
      </c>
    </row>
    <row r="144" spans="1:17" x14ac:dyDescent="0.35">
      <c r="A144" t="s">
        <v>108</v>
      </c>
      <c r="B144" t="s">
        <v>341</v>
      </c>
      <c r="C144" t="s">
        <v>19</v>
      </c>
      <c r="D144">
        <v>21</v>
      </c>
      <c r="E144" t="str">
        <f>IF(Table1_1[[#This Row],[Age]]&lt;=18,"CHILD",IF(Table1_1[[#This Row],[Age]]&lt;59,"ADULT","SENIOR"))</f>
        <v>ADULT</v>
      </c>
      <c r="F144" t="str">
        <f>IF(AND(Table1_1[[#This Row],[Age]]&gt;=60,Table1_1[[#This Row],[Insurance Status]]="INSURED"),"SENIOR ELIGIBLE","NOT ELIGIBLE")</f>
        <v>NOT ELIGIBLE</v>
      </c>
      <c r="G144" t="s">
        <v>26</v>
      </c>
      <c r="H144" t="s">
        <v>329</v>
      </c>
      <c r="I144" t="s">
        <v>338</v>
      </c>
      <c r="J144" s="1">
        <v>46024</v>
      </c>
      <c r="K144" s="1">
        <v>46029</v>
      </c>
      <c r="L144" t="s">
        <v>17</v>
      </c>
      <c r="M144" t="s">
        <v>321</v>
      </c>
      <c r="N144">
        <v>25470</v>
      </c>
      <c r="O144" t="str">
        <f>IF(OR(Table1_1[[#This Row],[Treatment Cost]]&gt;=20000,Table1_1[[#Headers],[Room Type]]="ICU"),"HIGH COST","NORMAL COST")</f>
        <v>HIGH COST</v>
      </c>
      <c r="P144" t="s">
        <v>331</v>
      </c>
      <c r="Q144" t="s">
        <v>323</v>
      </c>
    </row>
    <row r="145" spans="1:17" x14ac:dyDescent="0.35">
      <c r="A145" t="s">
        <v>42</v>
      </c>
      <c r="B145" t="s">
        <v>334</v>
      </c>
      <c r="C145" t="s">
        <v>19</v>
      </c>
      <c r="D145">
        <v>82</v>
      </c>
      <c r="E145" t="str">
        <f>IF(Table1_1[[#This Row],[Age]]&lt;=18,"CHILD",IF(Table1_1[[#This Row],[Age]]&lt;59,"ADULT","SENIOR"))</f>
        <v>SENIOR</v>
      </c>
      <c r="F145" t="str">
        <f>IF(AND(Table1_1[[#This Row],[Age]]&gt;=60,Table1_1[[#This Row],[Insurance Status]]="INSURED"),"SENIOR ELIGIBLE","NOT ELIGIBLE")</f>
        <v>NOT ELIGIBLE</v>
      </c>
      <c r="G145" t="s">
        <v>26</v>
      </c>
      <c r="H145" t="s">
        <v>319</v>
      </c>
      <c r="I145" t="s">
        <v>326</v>
      </c>
      <c r="J145" s="1">
        <v>46034</v>
      </c>
      <c r="K145" s="1">
        <v>46043</v>
      </c>
      <c r="L145" t="s">
        <v>327</v>
      </c>
      <c r="M145" t="s">
        <v>321</v>
      </c>
      <c r="N145">
        <v>25179</v>
      </c>
      <c r="O145" t="str">
        <f>IF(OR(Table1_1[[#This Row],[Treatment Cost]]&gt;=20000,Table1_1[[#Headers],[Room Type]]="ICU"),"HIGH COST","NORMAL COST")</f>
        <v>HIGH COST</v>
      </c>
      <c r="P145" t="s">
        <v>322</v>
      </c>
      <c r="Q145" t="s">
        <v>23</v>
      </c>
    </row>
    <row r="146" spans="1:17" x14ac:dyDescent="0.35">
      <c r="A146" t="s">
        <v>167</v>
      </c>
      <c r="B146" t="s">
        <v>341</v>
      </c>
      <c r="C146" t="s">
        <v>15</v>
      </c>
      <c r="D146">
        <v>25</v>
      </c>
      <c r="E146" t="str">
        <f>IF(Table1_1[[#This Row],[Age]]&lt;=18,"CHILD",IF(Table1_1[[#This Row],[Age]]&lt;59,"ADULT","SENIOR"))</f>
        <v>ADULT</v>
      </c>
      <c r="F146" t="str">
        <f>IF(AND(Table1_1[[#This Row],[Age]]&gt;=60,Table1_1[[#This Row],[Insurance Status]]="INSURED"),"SENIOR ELIGIBLE","NOT ELIGIBLE")</f>
        <v>NOT ELIGIBLE</v>
      </c>
      <c r="G146" t="s">
        <v>22</v>
      </c>
      <c r="H146" t="s">
        <v>342</v>
      </c>
      <c r="I146" t="s">
        <v>320</v>
      </c>
      <c r="J146" s="1">
        <v>46203</v>
      </c>
      <c r="K146" s="1">
        <v>46210</v>
      </c>
      <c r="L146" t="s">
        <v>332</v>
      </c>
      <c r="M146" t="s">
        <v>328</v>
      </c>
      <c r="N146">
        <v>24355</v>
      </c>
      <c r="O146" t="str">
        <f>IF(OR(Table1_1[[#This Row],[Treatment Cost]]&gt;=20000,Table1_1[[#Headers],[Room Type]]="ICU"),"HIGH COST","NORMAL COST")</f>
        <v>HIGH COST</v>
      </c>
      <c r="P146" t="s">
        <v>331</v>
      </c>
      <c r="Q146" t="s">
        <v>23</v>
      </c>
    </row>
    <row r="147" spans="1:17" x14ac:dyDescent="0.35">
      <c r="A147" t="s">
        <v>313</v>
      </c>
      <c r="B147" t="s">
        <v>337</v>
      </c>
      <c r="C147" t="s">
        <v>19</v>
      </c>
      <c r="D147">
        <v>37</v>
      </c>
      <c r="E147" t="str">
        <f>IF(Table1_1[[#This Row],[Age]]&lt;=18,"CHILD",IF(Table1_1[[#This Row],[Age]]&lt;59,"ADULT","SENIOR"))</f>
        <v>ADULT</v>
      </c>
      <c r="F147" t="str">
        <f>IF(AND(Table1_1[[#This Row],[Age]]&gt;=60,Table1_1[[#This Row],[Insurance Status]]="INSURED"),"SENIOR ELIGIBLE","NOT ELIGIBLE")</f>
        <v>NOT ELIGIBLE</v>
      </c>
      <c r="G147" t="s">
        <v>20</v>
      </c>
      <c r="H147" t="s">
        <v>342</v>
      </c>
      <c r="I147" t="s">
        <v>338</v>
      </c>
      <c r="J147" s="1">
        <v>46084</v>
      </c>
      <c r="K147" s="1">
        <v>46093</v>
      </c>
      <c r="L147" t="s">
        <v>332</v>
      </c>
      <c r="M147" t="s">
        <v>330</v>
      </c>
      <c r="N147">
        <v>24135</v>
      </c>
      <c r="O147" t="str">
        <f>IF(OR(Table1_1[[#This Row],[Treatment Cost]]&gt;=20000,Table1_1[[#Headers],[Room Type]]="ICU"),"HIGH COST","NORMAL COST")</f>
        <v>HIGH COST</v>
      </c>
      <c r="P147" t="s">
        <v>331</v>
      </c>
      <c r="Q147" t="s">
        <v>333</v>
      </c>
    </row>
    <row r="148" spans="1:17" x14ac:dyDescent="0.35">
      <c r="A148" t="s">
        <v>193</v>
      </c>
      <c r="B148" t="s">
        <v>334</v>
      </c>
      <c r="C148" t="s">
        <v>15</v>
      </c>
      <c r="D148">
        <v>37</v>
      </c>
      <c r="E148" t="str">
        <f>IF(Table1_1[[#This Row],[Age]]&lt;=18,"CHILD",IF(Table1_1[[#This Row],[Age]]&lt;59,"ADULT","SENIOR"))</f>
        <v>ADULT</v>
      </c>
      <c r="F148" t="str">
        <f>IF(AND(Table1_1[[#This Row],[Age]]&gt;=60,Table1_1[[#This Row],[Insurance Status]]="INSURED"),"SENIOR ELIGIBLE","NOT ELIGIBLE")</f>
        <v>NOT ELIGIBLE</v>
      </c>
      <c r="G148" t="s">
        <v>20</v>
      </c>
      <c r="H148" t="s">
        <v>342</v>
      </c>
      <c r="I148" t="s">
        <v>320</v>
      </c>
      <c r="J148" s="1">
        <v>46044</v>
      </c>
      <c r="K148" s="1">
        <v>46052</v>
      </c>
      <c r="L148" t="s">
        <v>332</v>
      </c>
      <c r="M148" t="s">
        <v>330</v>
      </c>
      <c r="N148">
        <v>24043</v>
      </c>
      <c r="O148" t="str">
        <f>IF(OR(Table1_1[[#This Row],[Treatment Cost]]&gt;=20000,Table1_1[[#Headers],[Room Type]]="ICU"),"HIGH COST","NORMAL COST")</f>
        <v>HIGH COST</v>
      </c>
      <c r="P148" t="s">
        <v>322</v>
      </c>
      <c r="Q148" t="s">
        <v>323</v>
      </c>
    </row>
    <row r="149" spans="1:17" x14ac:dyDescent="0.35">
      <c r="A149" t="s">
        <v>165</v>
      </c>
      <c r="B149" t="s">
        <v>337</v>
      </c>
      <c r="C149" t="s">
        <v>19</v>
      </c>
      <c r="D149">
        <v>33</v>
      </c>
      <c r="E149" t="str">
        <f>IF(Table1_1[[#This Row],[Age]]&lt;=18,"CHILD",IF(Table1_1[[#This Row],[Age]]&lt;59,"ADULT","SENIOR"))</f>
        <v>ADULT</v>
      </c>
      <c r="F149" t="str">
        <f>IF(AND(Table1_1[[#This Row],[Age]]&gt;=60,Table1_1[[#This Row],[Insurance Status]]="INSURED"),"SENIOR ELIGIBLE","NOT ELIGIBLE")</f>
        <v>NOT ELIGIBLE</v>
      </c>
      <c r="G149" t="s">
        <v>26</v>
      </c>
      <c r="H149" t="s">
        <v>319</v>
      </c>
      <c r="I149" t="s">
        <v>326</v>
      </c>
      <c r="J149" s="1">
        <v>46075</v>
      </c>
      <c r="K149" s="1">
        <v>46077</v>
      </c>
      <c r="L149" t="s">
        <v>339</v>
      </c>
      <c r="M149" t="s">
        <v>321</v>
      </c>
      <c r="N149">
        <v>23924</v>
      </c>
      <c r="O149" t="str">
        <f>IF(OR(Table1_1[[#This Row],[Treatment Cost]]&gt;=20000,Table1_1[[#Headers],[Room Type]]="ICU"),"HIGH COST","NORMAL COST")</f>
        <v>HIGH COST</v>
      </c>
      <c r="P149" t="s">
        <v>331</v>
      </c>
      <c r="Q149" t="s">
        <v>23</v>
      </c>
    </row>
    <row r="150" spans="1:17" x14ac:dyDescent="0.35">
      <c r="A150" t="s">
        <v>254</v>
      </c>
      <c r="B150" t="s">
        <v>318</v>
      </c>
      <c r="C150" t="s">
        <v>19</v>
      </c>
      <c r="D150">
        <v>60</v>
      </c>
      <c r="E150" t="str">
        <f>IF(Table1_1[[#This Row],[Age]]&lt;=18,"CHILD",IF(Table1_1[[#This Row],[Age]]&lt;59,"ADULT","SENIOR"))</f>
        <v>SENIOR</v>
      </c>
      <c r="F150" t="str">
        <f>IF(AND(Table1_1[[#This Row],[Age]]&gt;=60,Table1_1[[#This Row],[Insurance Status]]="INSURED"),"SENIOR ELIGIBLE","NOT ELIGIBLE")</f>
        <v>SENIOR ELIGIBLE</v>
      </c>
      <c r="G150" t="s">
        <v>16</v>
      </c>
      <c r="H150" t="s">
        <v>342</v>
      </c>
      <c r="I150" t="s">
        <v>320</v>
      </c>
      <c r="J150" s="1">
        <v>46184</v>
      </c>
      <c r="K150" s="1">
        <v>46193</v>
      </c>
      <c r="L150" t="s">
        <v>339</v>
      </c>
      <c r="M150" t="s">
        <v>328</v>
      </c>
      <c r="N150">
        <v>23513</v>
      </c>
      <c r="O150" t="str">
        <f>IF(OR(Table1_1[[#This Row],[Treatment Cost]]&gt;=20000,Table1_1[[#Headers],[Room Type]]="ICU"),"HIGH COST","NORMAL COST")</f>
        <v>HIGH COST</v>
      </c>
      <c r="P150" t="s">
        <v>331</v>
      </c>
      <c r="Q150" t="s">
        <v>23</v>
      </c>
    </row>
    <row r="151" spans="1:17" x14ac:dyDescent="0.35">
      <c r="A151" t="s">
        <v>139</v>
      </c>
      <c r="B151" t="s">
        <v>318</v>
      </c>
      <c r="C151" t="s">
        <v>19</v>
      </c>
      <c r="D151">
        <v>33</v>
      </c>
      <c r="E151" t="str">
        <f>IF(Table1_1[[#This Row],[Age]]&lt;=18,"CHILD",IF(Table1_1[[#This Row],[Age]]&lt;59,"ADULT","SENIOR"))</f>
        <v>ADULT</v>
      </c>
      <c r="F151" t="str">
        <f>IF(AND(Table1_1[[#This Row],[Age]]&gt;=60,Table1_1[[#This Row],[Insurance Status]]="INSURED"),"SENIOR ELIGIBLE","NOT ELIGIBLE")</f>
        <v>NOT ELIGIBLE</v>
      </c>
      <c r="G151" t="s">
        <v>20</v>
      </c>
      <c r="H151" t="s">
        <v>329</v>
      </c>
      <c r="I151" t="s">
        <v>338</v>
      </c>
      <c r="J151" s="1">
        <v>46177</v>
      </c>
      <c r="K151" s="1">
        <v>46182</v>
      </c>
      <c r="L151" t="s">
        <v>17</v>
      </c>
      <c r="M151" t="s">
        <v>330</v>
      </c>
      <c r="N151">
        <v>23311</v>
      </c>
      <c r="O151" t="str">
        <f>IF(OR(Table1_1[[#This Row],[Treatment Cost]]&gt;=20000,Table1_1[[#Headers],[Room Type]]="ICU"),"HIGH COST","NORMAL COST")</f>
        <v>HIGH COST</v>
      </c>
      <c r="P151" t="s">
        <v>331</v>
      </c>
      <c r="Q151" t="s">
        <v>323</v>
      </c>
    </row>
    <row r="152" spans="1:17" x14ac:dyDescent="0.35">
      <c r="A152" t="s">
        <v>233</v>
      </c>
      <c r="B152" t="s">
        <v>324</v>
      </c>
      <c r="C152" t="s">
        <v>19</v>
      </c>
      <c r="D152">
        <v>23</v>
      </c>
      <c r="E152" t="str">
        <f>IF(Table1_1[[#This Row],[Age]]&lt;=18,"CHILD",IF(Table1_1[[#This Row],[Age]]&lt;59,"ADULT","SENIOR"))</f>
        <v>ADULT</v>
      </c>
      <c r="F152" t="str">
        <f>IF(AND(Table1_1[[#This Row],[Age]]&gt;=60,Table1_1[[#This Row],[Insurance Status]]="INSURED"),"SENIOR ELIGIBLE","NOT ELIGIBLE")</f>
        <v>NOT ELIGIBLE</v>
      </c>
      <c r="G152" t="s">
        <v>22</v>
      </c>
      <c r="H152" t="s">
        <v>342</v>
      </c>
      <c r="I152" t="s">
        <v>336</v>
      </c>
      <c r="J152" s="1">
        <v>46105</v>
      </c>
      <c r="K152" s="1">
        <v>46115</v>
      </c>
      <c r="L152" t="s">
        <v>17</v>
      </c>
      <c r="M152" t="s">
        <v>321</v>
      </c>
      <c r="N152">
        <v>22700</v>
      </c>
      <c r="O152" t="str">
        <f>IF(OR(Table1_1[[#This Row],[Treatment Cost]]&gt;=20000,Table1_1[[#Headers],[Room Type]]="ICU"),"HIGH COST","NORMAL COST")</f>
        <v>HIGH COST</v>
      </c>
      <c r="P152" t="s">
        <v>322</v>
      </c>
      <c r="Q152" t="s">
        <v>323</v>
      </c>
    </row>
    <row r="153" spans="1:17" x14ac:dyDescent="0.35">
      <c r="A153" t="s">
        <v>268</v>
      </c>
      <c r="B153" t="s">
        <v>324</v>
      </c>
      <c r="C153" t="s">
        <v>15</v>
      </c>
      <c r="D153">
        <v>81</v>
      </c>
      <c r="E153" t="str">
        <f>IF(Table1_1[[#This Row],[Age]]&lt;=18,"CHILD",IF(Table1_1[[#This Row],[Age]]&lt;59,"ADULT","SENIOR"))</f>
        <v>SENIOR</v>
      </c>
      <c r="F153" t="str">
        <f>IF(AND(Table1_1[[#This Row],[Age]]&gt;=60,Table1_1[[#This Row],[Insurance Status]]="INSURED"),"SENIOR ELIGIBLE","NOT ELIGIBLE")</f>
        <v>SENIOR ELIGIBLE</v>
      </c>
      <c r="G153" t="s">
        <v>22</v>
      </c>
      <c r="H153" t="s">
        <v>319</v>
      </c>
      <c r="I153" t="s">
        <v>320</v>
      </c>
      <c r="J153" s="1">
        <v>46173</v>
      </c>
      <c r="K153" s="1">
        <v>46178</v>
      </c>
      <c r="L153" t="s">
        <v>17</v>
      </c>
      <c r="M153" t="s">
        <v>335</v>
      </c>
      <c r="N153">
        <v>22604</v>
      </c>
      <c r="O153" t="str">
        <f>IF(OR(Table1_1[[#This Row],[Treatment Cost]]&gt;=20000,Table1_1[[#Headers],[Room Type]]="ICU"),"HIGH COST","NORMAL COST")</f>
        <v>HIGH COST</v>
      </c>
      <c r="P153" t="s">
        <v>331</v>
      </c>
      <c r="Q153" t="s">
        <v>333</v>
      </c>
    </row>
    <row r="154" spans="1:17" x14ac:dyDescent="0.35">
      <c r="A154" t="s">
        <v>256</v>
      </c>
      <c r="B154" t="s">
        <v>324</v>
      </c>
      <c r="C154" t="s">
        <v>15</v>
      </c>
      <c r="D154">
        <v>62</v>
      </c>
      <c r="E154" t="str">
        <f>IF(Table1_1[[#This Row],[Age]]&lt;=18,"CHILD",IF(Table1_1[[#This Row],[Age]]&lt;59,"ADULT","SENIOR"))</f>
        <v>SENIOR</v>
      </c>
      <c r="F154" t="str">
        <f>IF(AND(Table1_1[[#This Row],[Age]]&gt;=60,Table1_1[[#This Row],[Insurance Status]]="INSURED"),"SENIOR ELIGIBLE","NOT ELIGIBLE")</f>
        <v>SENIOR ELIGIBLE</v>
      </c>
      <c r="G154" t="s">
        <v>22</v>
      </c>
      <c r="H154" t="s">
        <v>319</v>
      </c>
      <c r="I154" t="s">
        <v>326</v>
      </c>
      <c r="J154" s="1">
        <v>46045</v>
      </c>
      <c r="K154" s="1">
        <v>46052</v>
      </c>
      <c r="L154" t="s">
        <v>17</v>
      </c>
      <c r="M154" t="s">
        <v>328</v>
      </c>
      <c r="N154">
        <v>22592</v>
      </c>
      <c r="O154" t="str">
        <f>IF(OR(Table1_1[[#This Row],[Treatment Cost]]&gt;=20000,Table1_1[[#Headers],[Room Type]]="ICU"),"HIGH COST","NORMAL COST")</f>
        <v>HIGH COST</v>
      </c>
      <c r="P154" t="s">
        <v>331</v>
      </c>
      <c r="Q154" t="s">
        <v>323</v>
      </c>
    </row>
    <row r="155" spans="1:17" x14ac:dyDescent="0.35">
      <c r="A155" t="s">
        <v>177</v>
      </c>
      <c r="B155" t="s">
        <v>318</v>
      </c>
      <c r="C155" t="s">
        <v>15</v>
      </c>
      <c r="D155">
        <v>79</v>
      </c>
      <c r="E155" t="str">
        <f>IF(Table1_1[[#This Row],[Age]]&lt;=18,"CHILD",IF(Table1_1[[#This Row],[Age]]&lt;59,"ADULT","SENIOR"))</f>
        <v>SENIOR</v>
      </c>
      <c r="F155" t="str">
        <f>IF(AND(Table1_1[[#This Row],[Age]]&gt;=60,Table1_1[[#This Row],[Insurance Status]]="INSURED"),"SENIOR ELIGIBLE","NOT ELIGIBLE")</f>
        <v>SENIOR ELIGIBLE</v>
      </c>
      <c r="G155" t="s">
        <v>16</v>
      </c>
      <c r="H155" t="s">
        <v>342</v>
      </c>
      <c r="I155" t="s">
        <v>338</v>
      </c>
      <c r="J155" s="1">
        <v>46024</v>
      </c>
      <c r="K155" s="1">
        <v>46026</v>
      </c>
      <c r="L155" t="s">
        <v>327</v>
      </c>
      <c r="M155" t="s">
        <v>335</v>
      </c>
      <c r="N155">
        <v>22577</v>
      </c>
      <c r="O155" t="str">
        <f>IF(OR(Table1_1[[#This Row],[Treatment Cost]]&gt;=20000,Table1_1[[#Headers],[Room Type]]="ICU"),"HIGH COST","NORMAL COST")</f>
        <v>HIGH COST</v>
      </c>
      <c r="P155" t="s">
        <v>331</v>
      </c>
      <c r="Q155" t="s">
        <v>333</v>
      </c>
    </row>
    <row r="156" spans="1:17" x14ac:dyDescent="0.35">
      <c r="A156" t="s">
        <v>290</v>
      </c>
      <c r="B156" t="s">
        <v>318</v>
      </c>
      <c r="C156" t="s">
        <v>19</v>
      </c>
      <c r="D156">
        <v>61</v>
      </c>
      <c r="E156" t="str">
        <f>IF(Table1_1[[#This Row],[Age]]&lt;=18,"CHILD",IF(Table1_1[[#This Row],[Age]]&lt;59,"ADULT","SENIOR"))</f>
        <v>SENIOR</v>
      </c>
      <c r="F156" t="str">
        <f>IF(AND(Table1_1[[#This Row],[Age]]&gt;=60,Table1_1[[#This Row],[Insurance Status]]="INSURED"),"SENIOR ELIGIBLE","NOT ELIGIBLE")</f>
        <v>SENIOR ELIGIBLE</v>
      </c>
      <c r="G156" t="s">
        <v>20</v>
      </c>
      <c r="H156" t="s">
        <v>342</v>
      </c>
      <c r="I156" t="s">
        <v>320</v>
      </c>
      <c r="J156" s="1">
        <v>46035</v>
      </c>
      <c r="K156" s="1">
        <v>46039</v>
      </c>
      <c r="L156" t="s">
        <v>339</v>
      </c>
      <c r="M156" t="s">
        <v>335</v>
      </c>
      <c r="N156">
        <v>22420</v>
      </c>
      <c r="O156" t="str">
        <f>IF(OR(Table1_1[[#This Row],[Treatment Cost]]&gt;=20000,Table1_1[[#Headers],[Room Type]]="ICU"),"HIGH COST","NORMAL COST")</f>
        <v>HIGH COST</v>
      </c>
      <c r="P156" t="s">
        <v>331</v>
      </c>
      <c r="Q156" t="s">
        <v>323</v>
      </c>
    </row>
    <row r="157" spans="1:17" x14ac:dyDescent="0.35">
      <c r="A157" t="s">
        <v>197</v>
      </c>
      <c r="B157" t="s">
        <v>324</v>
      </c>
      <c r="C157" t="s">
        <v>19</v>
      </c>
      <c r="D157">
        <v>23</v>
      </c>
      <c r="E157" t="str">
        <f>IF(Table1_1[[#This Row],[Age]]&lt;=18,"CHILD",IF(Table1_1[[#This Row],[Age]]&lt;59,"ADULT","SENIOR"))</f>
        <v>ADULT</v>
      </c>
      <c r="F157" t="str">
        <f>IF(AND(Table1_1[[#This Row],[Age]]&gt;=60,Table1_1[[#This Row],[Insurance Status]]="INSURED"),"SENIOR ELIGIBLE","NOT ELIGIBLE")</f>
        <v>NOT ELIGIBLE</v>
      </c>
      <c r="G157" t="s">
        <v>16</v>
      </c>
      <c r="H157" t="s">
        <v>319</v>
      </c>
      <c r="I157" t="s">
        <v>320</v>
      </c>
      <c r="J157" s="1">
        <v>46121</v>
      </c>
      <c r="K157" s="1">
        <v>46131</v>
      </c>
      <c r="L157" t="s">
        <v>17</v>
      </c>
      <c r="M157" t="s">
        <v>328</v>
      </c>
      <c r="N157">
        <v>22263</v>
      </c>
      <c r="O157" t="str">
        <f>IF(OR(Table1_1[[#This Row],[Treatment Cost]]&gt;=20000,Table1_1[[#Headers],[Room Type]]="ICU"),"HIGH COST","NORMAL COST")</f>
        <v>HIGH COST</v>
      </c>
      <c r="P157" t="s">
        <v>322</v>
      </c>
      <c r="Q157" t="s">
        <v>333</v>
      </c>
    </row>
    <row r="158" spans="1:17" x14ac:dyDescent="0.35">
      <c r="A158" t="s">
        <v>164</v>
      </c>
      <c r="B158" t="s">
        <v>318</v>
      </c>
      <c r="C158" t="s">
        <v>15</v>
      </c>
      <c r="D158">
        <v>61</v>
      </c>
      <c r="E158" t="str">
        <f>IF(Table1_1[[#This Row],[Age]]&lt;=18,"CHILD",IF(Table1_1[[#This Row],[Age]]&lt;59,"ADULT","SENIOR"))</f>
        <v>SENIOR</v>
      </c>
      <c r="F158" t="str">
        <f>IF(AND(Table1_1[[#This Row],[Age]]&gt;=60,Table1_1[[#This Row],[Insurance Status]]="INSURED"),"SENIOR ELIGIBLE","NOT ELIGIBLE")</f>
        <v>NOT ELIGIBLE</v>
      </c>
      <c r="G158" t="s">
        <v>20</v>
      </c>
      <c r="H158" t="s">
        <v>319</v>
      </c>
      <c r="I158" t="s">
        <v>326</v>
      </c>
      <c r="J158" s="1">
        <v>46127</v>
      </c>
      <c r="K158" s="1">
        <v>46132</v>
      </c>
      <c r="L158" t="s">
        <v>339</v>
      </c>
      <c r="M158" t="s">
        <v>321</v>
      </c>
      <c r="N158">
        <v>22142</v>
      </c>
      <c r="O158" t="str">
        <f>IF(OR(Table1_1[[#This Row],[Treatment Cost]]&gt;=20000,Table1_1[[#Headers],[Room Type]]="ICU"),"HIGH COST","NORMAL COST")</f>
        <v>HIGH COST</v>
      </c>
      <c r="P158" t="s">
        <v>322</v>
      </c>
      <c r="Q158" t="s">
        <v>23</v>
      </c>
    </row>
    <row r="159" spans="1:17" x14ac:dyDescent="0.35">
      <c r="A159" t="s">
        <v>235</v>
      </c>
      <c r="B159" t="s">
        <v>318</v>
      </c>
      <c r="C159" t="s">
        <v>15</v>
      </c>
      <c r="D159">
        <v>36</v>
      </c>
      <c r="E159" t="str">
        <f>IF(Table1_1[[#This Row],[Age]]&lt;=18,"CHILD",IF(Table1_1[[#This Row],[Age]]&lt;59,"ADULT","SENIOR"))</f>
        <v>ADULT</v>
      </c>
      <c r="F159" t="str">
        <f>IF(AND(Table1_1[[#This Row],[Age]]&gt;=60,Table1_1[[#This Row],[Insurance Status]]="INSURED"),"SENIOR ELIGIBLE","NOT ELIGIBLE")</f>
        <v>NOT ELIGIBLE</v>
      </c>
      <c r="G159" t="s">
        <v>26</v>
      </c>
      <c r="H159" t="s">
        <v>319</v>
      </c>
      <c r="I159" t="s">
        <v>326</v>
      </c>
      <c r="J159" s="1">
        <v>46092</v>
      </c>
      <c r="K159" s="1">
        <v>46093</v>
      </c>
      <c r="L159" t="s">
        <v>327</v>
      </c>
      <c r="M159" t="s">
        <v>321</v>
      </c>
      <c r="N159">
        <v>22065</v>
      </c>
      <c r="O159" t="str">
        <f>IF(OR(Table1_1[[#This Row],[Treatment Cost]]&gt;=20000,Table1_1[[#Headers],[Room Type]]="ICU"),"HIGH COST","NORMAL COST")</f>
        <v>HIGH COST</v>
      </c>
      <c r="P159" t="s">
        <v>331</v>
      </c>
      <c r="Q159" t="s">
        <v>333</v>
      </c>
    </row>
    <row r="160" spans="1:17" x14ac:dyDescent="0.35">
      <c r="A160" t="s">
        <v>169</v>
      </c>
      <c r="B160" t="s">
        <v>341</v>
      </c>
      <c r="C160" t="s">
        <v>15</v>
      </c>
      <c r="D160">
        <v>27</v>
      </c>
      <c r="E160" t="str">
        <f>IF(Table1_1[[#This Row],[Age]]&lt;=18,"CHILD",IF(Table1_1[[#This Row],[Age]]&lt;59,"ADULT","SENIOR"))</f>
        <v>ADULT</v>
      </c>
      <c r="F160" t="str">
        <f>IF(AND(Table1_1[[#This Row],[Age]]&gt;=60,Table1_1[[#This Row],[Insurance Status]]="INSURED"),"SENIOR ELIGIBLE","NOT ELIGIBLE")</f>
        <v>NOT ELIGIBLE</v>
      </c>
      <c r="G160" t="s">
        <v>20</v>
      </c>
      <c r="H160" t="s">
        <v>342</v>
      </c>
      <c r="I160" t="s">
        <v>338</v>
      </c>
      <c r="J160" s="1">
        <v>46185</v>
      </c>
      <c r="K160" s="1">
        <v>46194</v>
      </c>
      <c r="L160" t="s">
        <v>332</v>
      </c>
      <c r="M160" t="s">
        <v>335</v>
      </c>
      <c r="N160">
        <v>21991</v>
      </c>
      <c r="O160" t="str">
        <f>IF(OR(Table1_1[[#This Row],[Treatment Cost]]&gt;=20000,Table1_1[[#Headers],[Room Type]]="ICU"),"HIGH COST","NORMAL COST")</f>
        <v>HIGH COST</v>
      </c>
      <c r="P160" t="s">
        <v>331</v>
      </c>
      <c r="Q160" t="s">
        <v>333</v>
      </c>
    </row>
    <row r="161" spans="1:17" x14ac:dyDescent="0.35">
      <c r="A161" t="s">
        <v>212</v>
      </c>
      <c r="B161" t="s">
        <v>341</v>
      </c>
      <c r="C161" t="s">
        <v>19</v>
      </c>
      <c r="D161">
        <v>45</v>
      </c>
      <c r="E161" t="str">
        <f>IF(Table1_1[[#This Row],[Age]]&lt;=18,"CHILD",IF(Table1_1[[#This Row],[Age]]&lt;59,"ADULT","SENIOR"))</f>
        <v>ADULT</v>
      </c>
      <c r="F161" t="str">
        <f>IF(AND(Table1_1[[#This Row],[Age]]&gt;=60,Table1_1[[#This Row],[Insurance Status]]="INSURED"),"SENIOR ELIGIBLE","NOT ELIGIBLE")</f>
        <v>NOT ELIGIBLE</v>
      </c>
      <c r="G161" t="s">
        <v>16</v>
      </c>
      <c r="H161" t="s">
        <v>325</v>
      </c>
      <c r="I161" t="s">
        <v>338</v>
      </c>
      <c r="J161" s="1">
        <v>46180</v>
      </c>
      <c r="K161" s="1">
        <v>46190</v>
      </c>
      <c r="L161" t="s">
        <v>327</v>
      </c>
      <c r="M161" t="s">
        <v>330</v>
      </c>
      <c r="N161">
        <v>21979</v>
      </c>
      <c r="O161" t="str">
        <f>IF(OR(Table1_1[[#This Row],[Treatment Cost]]&gt;=20000,Table1_1[[#Headers],[Room Type]]="ICU"),"HIGH COST","NORMAL COST")</f>
        <v>HIGH COST</v>
      </c>
      <c r="P161" t="s">
        <v>322</v>
      </c>
      <c r="Q161" t="s">
        <v>23</v>
      </c>
    </row>
    <row r="162" spans="1:17" x14ac:dyDescent="0.35">
      <c r="A162" t="s">
        <v>297</v>
      </c>
      <c r="B162" t="s">
        <v>334</v>
      </c>
      <c r="C162" t="s">
        <v>19</v>
      </c>
      <c r="D162">
        <v>26</v>
      </c>
      <c r="E162" t="str">
        <f>IF(Table1_1[[#This Row],[Age]]&lt;=18,"CHILD",IF(Table1_1[[#This Row],[Age]]&lt;59,"ADULT","SENIOR"))</f>
        <v>ADULT</v>
      </c>
      <c r="F162" t="str">
        <f>IF(AND(Table1_1[[#This Row],[Age]]&gt;=60,Table1_1[[#This Row],[Insurance Status]]="INSURED"),"SENIOR ELIGIBLE","NOT ELIGIBLE")</f>
        <v>NOT ELIGIBLE</v>
      </c>
      <c r="G162" t="s">
        <v>16</v>
      </c>
      <c r="H162" t="s">
        <v>319</v>
      </c>
      <c r="I162" t="s">
        <v>326</v>
      </c>
      <c r="J162" s="1">
        <v>46098</v>
      </c>
      <c r="K162" s="1">
        <v>46104</v>
      </c>
      <c r="L162" t="s">
        <v>332</v>
      </c>
      <c r="M162" t="s">
        <v>328</v>
      </c>
      <c r="N162">
        <v>21666</v>
      </c>
      <c r="O162" t="str">
        <f>IF(OR(Table1_1[[#This Row],[Treatment Cost]]&gt;=20000,Table1_1[[#Headers],[Room Type]]="ICU"),"HIGH COST","NORMAL COST")</f>
        <v>HIGH COST</v>
      </c>
      <c r="P162" t="s">
        <v>331</v>
      </c>
      <c r="Q162" t="s">
        <v>333</v>
      </c>
    </row>
    <row r="163" spans="1:17" x14ac:dyDescent="0.35">
      <c r="A163" t="s">
        <v>27</v>
      </c>
      <c r="B163" t="s">
        <v>318</v>
      </c>
      <c r="C163" t="s">
        <v>19</v>
      </c>
      <c r="D163">
        <v>18</v>
      </c>
      <c r="E163" t="str">
        <f>IF(Table1_1[[#This Row],[Age]]&lt;=18,"CHILD",IF(Table1_1[[#This Row],[Age]]&lt;59,"ADULT","SENIOR"))</f>
        <v>CHILD</v>
      </c>
      <c r="F163" t="str">
        <f>IF(AND(Table1_1[[#This Row],[Age]]&gt;=60,Table1_1[[#This Row],[Insurance Status]]="INSURED"),"SENIOR ELIGIBLE","NOT ELIGIBLE")</f>
        <v>NOT ELIGIBLE</v>
      </c>
      <c r="G163" t="s">
        <v>16</v>
      </c>
      <c r="H163" t="s">
        <v>329</v>
      </c>
      <c r="I163" t="s">
        <v>336</v>
      </c>
      <c r="J163" s="1">
        <v>46046</v>
      </c>
      <c r="K163" s="1">
        <v>46048</v>
      </c>
      <c r="L163" t="s">
        <v>17</v>
      </c>
      <c r="M163" t="s">
        <v>330</v>
      </c>
      <c r="N163">
        <v>21587</v>
      </c>
      <c r="O163" t="str">
        <f>IF(OR(Table1_1[[#This Row],[Treatment Cost]]&gt;=20000,Table1_1[[#Headers],[Room Type]]="ICU"),"HIGH COST","NORMAL COST")</f>
        <v>HIGH COST</v>
      </c>
      <c r="P163" t="s">
        <v>322</v>
      </c>
      <c r="Q163" t="s">
        <v>323</v>
      </c>
    </row>
    <row r="164" spans="1:17" x14ac:dyDescent="0.35">
      <c r="A164" t="s">
        <v>300</v>
      </c>
      <c r="B164" t="s">
        <v>340</v>
      </c>
      <c r="C164" t="s">
        <v>19</v>
      </c>
      <c r="D164">
        <v>33</v>
      </c>
      <c r="E164" t="str">
        <f>IF(Table1_1[[#This Row],[Age]]&lt;=18,"CHILD",IF(Table1_1[[#This Row],[Age]]&lt;59,"ADULT","SENIOR"))</f>
        <v>ADULT</v>
      </c>
      <c r="F164" t="str">
        <f>IF(AND(Table1_1[[#This Row],[Age]]&gt;=60,Table1_1[[#This Row],[Insurance Status]]="INSURED"),"SENIOR ELIGIBLE","NOT ELIGIBLE")</f>
        <v>NOT ELIGIBLE</v>
      </c>
      <c r="G164" t="s">
        <v>16</v>
      </c>
      <c r="H164" t="s">
        <v>342</v>
      </c>
      <c r="I164" t="s">
        <v>326</v>
      </c>
      <c r="J164" s="1">
        <v>46203</v>
      </c>
      <c r="K164" s="1">
        <v>46213</v>
      </c>
      <c r="L164" t="s">
        <v>339</v>
      </c>
      <c r="M164" t="s">
        <v>330</v>
      </c>
      <c r="N164">
        <v>21442</v>
      </c>
      <c r="O164" t="str">
        <f>IF(OR(Table1_1[[#This Row],[Treatment Cost]]&gt;=20000,Table1_1[[#Headers],[Room Type]]="ICU"),"HIGH COST","NORMAL COST")</f>
        <v>HIGH COST</v>
      </c>
      <c r="P164" t="s">
        <v>322</v>
      </c>
      <c r="Q164" t="s">
        <v>323</v>
      </c>
    </row>
    <row r="165" spans="1:17" x14ac:dyDescent="0.35">
      <c r="A165" t="s">
        <v>149</v>
      </c>
      <c r="B165" t="s">
        <v>334</v>
      </c>
      <c r="C165" t="s">
        <v>19</v>
      </c>
      <c r="D165">
        <v>84</v>
      </c>
      <c r="E165" t="str">
        <f>IF(Table1_1[[#This Row],[Age]]&lt;=18,"CHILD",IF(Table1_1[[#This Row],[Age]]&lt;59,"ADULT","SENIOR"))</f>
        <v>SENIOR</v>
      </c>
      <c r="F165" t="str">
        <f>IF(AND(Table1_1[[#This Row],[Age]]&gt;=60,Table1_1[[#This Row],[Insurance Status]]="INSURED"),"SENIOR ELIGIBLE","NOT ELIGIBLE")</f>
        <v>SENIOR ELIGIBLE</v>
      </c>
      <c r="G165" t="s">
        <v>26</v>
      </c>
      <c r="H165" t="s">
        <v>325</v>
      </c>
      <c r="I165" t="s">
        <v>320</v>
      </c>
      <c r="J165" s="1">
        <v>46200</v>
      </c>
      <c r="K165" s="1">
        <v>46208</v>
      </c>
      <c r="L165" t="s">
        <v>339</v>
      </c>
      <c r="M165" t="s">
        <v>328</v>
      </c>
      <c r="N165">
        <v>21297</v>
      </c>
      <c r="O165" t="str">
        <f>IF(OR(Table1_1[[#This Row],[Treatment Cost]]&gt;=20000,Table1_1[[#Headers],[Room Type]]="ICU"),"HIGH COST","NORMAL COST")</f>
        <v>HIGH COST</v>
      </c>
      <c r="P165" t="s">
        <v>331</v>
      </c>
      <c r="Q165" t="s">
        <v>333</v>
      </c>
    </row>
    <row r="166" spans="1:17" x14ac:dyDescent="0.35">
      <c r="A166" t="s">
        <v>166</v>
      </c>
      <c r="B166" t="s">
        <v>334</v>
      </c>
      <c r="C166" t="s">
        <v>15</v>
      </c>
      <c r="D166">
        <v>56</v>
      </c>
      <c r="E166" t="str">
        <f>IF(Table1_1[[#This Row],[Age]]&lt;=18,"CHILD",IF(Table1_1[[#This Row],[Age]]&lt;59,"ADULT","SENIOR"))</f>
        <v>ADULT</v>
      </c>
      <c r="F166" t="str">
        <f>IF(AND(Table1_1[[#This Row],[Age]]&gt;=60,Table1_1[[#This Row],[Insurance Status]]="INSURED"),"SENIOR ELIGIBLE","NOT ELIGIBLE")</f>
        <v>NOT ELIGIBLE</v>
      </c>
      <c r="G166" t="s">
        <v>20</v>
      </c>
      <c r="H166" t="s">
        <v>342</v>
      </c>
      <c r="I166" t="s">
        <v>326</v>
      </c>
      <c r="J166" s="1">
        <v>46029</v>
      </c>
      <c r="K166" s="1">
        <v>46033</v>
      </c>
      <c r="L166" t="s">
        <v>17</v>
      </c>
      <c r="M166" t="s">
        <v>335</v>
      </c>
      <c r="N166">
        <v>21143</v>
      </c>
      <c r="O166" t="str">
        <f>IF(OR(Table1_1[[#This Row],[Treatment Cost]]&gt;=20000,Table1_1[[#Headers],[Room Type]]="ICU"),"HIGH COST","NORMAL COST")</f>
        <v>HIGH COST</v>
      </c>
      <c r="P166" t="s">
        <v>322</v>
      </c>
      <c r="Q166" t="s">
        <v>323</v>
      </c>
    </row>
    <row r="167" spans="1:17" x14ac:dyDescent="0.35">
      <c r="A167" t="s">
        <v>158</v>
      </c>
      <c r="B167" t="s">
        <v>324</v>
      </c>
      <c r="C167" t="s">
        <v>19</v>
      </c>
      <c r="D167">
        <v>28</v>
      </c>
      <c r="E167" t="str">
        <f>IF(Table1_1[[#This Row],[Age]]&lt;=18,"CHILD",IF(Table1_1[[#This Row],[Age]]&lt;59,"ADULT","SENIOR"))</f>
        <v>ADULT</v>
      </c>
      <c r="F167" t="str">
        <f>IF(AND(Table1_1[[#This Row],[Age]]&gt;=60,Table1_1[[#This Row],[Insurance Status]]="INSURED"),"SENIOR ELIGIBLE","NOT ELIGIBLE")</f>
        <v>NOT ELIGIBLE</v>
      </c>
      <c r="G167" t="s">
        <v>20</v>
      </c>
      <c r="H167" t="s">
        <v>319</v>
      </c>
      <c r="I167" t="s">
        <v>320</v>
      </c>
      <c r="J167" s="1">
        <v>46178</v>
      </c>
      <c r="K167" s="1">
        <v>46186</v>
      </c>
      <c r="L167" t="s">
        <v>332</v>
      </c>
      <c r="M167" t="s">
        <v>321</v>
      </c>
      <c r="N167">
        <v>21103</v>
      </c>
      <c r="O167" t="str">
        <f>IF(OR(Table1_1[[#This Row],[Treatment Cost]]&gt;=20000,Table1_1[[#Headers],[Room Type]]="ICU"),"HIGH COST","NORMAL COST")</f>
        <v>HIGH COST</v>
      </c>
      <c r="P167" t="s">
        <v>322</v>
      </c>
      <c r="Q167" t="s">
        <v>323</v>
      </c>
    </row>
    <row r="168" spans="1:17" x14ac:dyDescent="0.35">
      <c r="A168" t="s">
        <v>288</v>
      </c>
      <c r="B168" t="s">
        <v>337</v>
      </c>
      <c r="C168" t="s">
        <v>19</v>
      </c>
      <c r="D168">
        <v>54</v>
      </c>
      <c r="E168" t="str">
        <f>IF(Table1_1[[#This Row],[Age]]&lt;=18,"CHILD",IF(Table1_1[[#This Row],[Age]]&lt;59,"ADULT","SENIOR"))</f>
        <v>ADULT</v>
      </c>
      <c r="F168" t="str">
        <f>IF(AND(Table1_1[[#This Row],[Age]]&gt;=60,Table1_1[[#This Row],[Insurance Status]]="INSURED"),"SENIOR ELIGIBLE","NOT ELIGIBLE")</f>
        <v>NOT ELIGIBLE</v>
      </c>
      <c r="G168" t="s">
        <v>26</v>
      </c>
      <c r="H168" t="s">
        <v>342</v>
      </c>
      <c r="I168" t="s">
        <v>338</v>
      </c>
      <c r="J168" s="1">
        <v>46104</v>
      </c>
      <c r="K168" s="1">
        <v>46111</v>
      </c>
      <c r="L168" t="s">
        <v>327</v>
      </c>
      <c r="M168" t="s">
        <v>321</v>
      </c>
      <c r="N168">
        <v>21050</v>
      </c>
      <c r="O168" t="str">
        <f>IF(OR(Table1_1[[#This Row],[Treatment Cost]]&gt;=20000,Table1_1[[#Headers],[Room Type]]="ICU"),"HIGH COST","NORMAL COST")</f>
        <v>HIGH COST</v>
      </c>
      <c r="P168" t="s">
        <v>331</v>
      </c>
      <c r="Q168" t="s">
        <v>23</v>
      </c>
    </row>
    <row r="169" spans="1:17" x14ac:dyDescent="0.35">
      <c r="A169" t="s">
        <v>253</v>
      </c>
      <c r="B169" t="s">
        <v>341</v>
      </c>
      <c r="C169" t="s">
        <v>15</v>
      </c>
      <c r="D169">
        <v>71</v>
      </c>
      <c r="E169" t="str">
        <f>IF(Table1_1[[#This Row],[Age]]&lt;=18,"CHILD",IF(Table1_1[[#This Row],[Age]]&lt;59,"ADULT","SENIOR"))</f>
        <v>SENIOR</v>
      </c>
      <c r="F169" t="str">
        <f>IF(AND(Table1_1[[#This Row],[Age]]&gt;=60,Table1_1[[#This Row],[Insurance Status]]="INSURED"),"SENIOR ELIGIBLE","NOT ELIGIBLE")</f>
        <v>NOT ELIGIBLE</v>
      </c>
      <c r="G169" t="s">
        <v>26</v>
      </c>
      <c r="H169" t="s">
        <v>325</v>
      </c>
      <c r="I169" t="s">
        <v>326</v>
      </c>
      <c r="J169" s="1">
        <v>46168</v>
      </c>
      <c r="K169" s="1">
        <v>46171</v>
      </c>
      <c r="L169" t="s">
        <v>17</v>
      </c>
      <c r="M169" t="s">
        <v>328</v>
      </c>
      <c r="N169">
        <v>20932</v>
      </c>
      <c r="O169" t="str">
        <f>IF(OR(Table1_1[[#This Row],[Treatment Cost]]&gt;=20000,Table1_1[[#Headers],[Room Type]]="ICU"),"HIGH COST","NORMAL COST")</f>
        <v>HIGH COST</v>
      </c>
      <c r="P169" t="s">
        <v>322</v>
      </c>
      <c r="Q169" t="s">
        <v>333</v>
      </c>
    </row>
    <row r="170" spans="1:17" x14ac:dyDescent="0.35">
      <c r="A170" t="s">
        <v>18</v>
      </c>
      <c r="B170" t="s">
        <v>324</v>
      </c>
      <c r="C170" t="s">
        <v>19</v>
      </c>
      <c r="D170">
        <v>74</v>
      </c>
      <c r="E170" t="str">
        <f>IF(Table1_1[[#This Row],[Age]]&lt;=18,"CHILD",IF(Table1_1[[#This Row],[Age]]&lt;59,"ADULT","SENIOR"))</f>
        <v>SENIOR</v>
      </c>
      <c r="F170" t="str">
        <f>IF(AND(Table1_1[[#This Row],[Age]]&gt;=60,Table1_1[[#This Row],[Insurance Status]]="INSURED"),"SENIOR ELIGIBLE","NOT ELIGIBLE")</f>
        <v>NOT ELIGIBLE</v>
      </c>
      <c r="G170" t="s">
        <v>20</v>
      </c>
      <c r="H170" t="s">
        <v>325</v>
      </c>
      <c r="I170" t="s">
        <v>326</v>
      </c>
      <c r="J170" s="1">
        <v>46108</v>
      </c>
      <c r="K170" s="1">
        <v>46115</v>
      </c>
      <c r="L170" t="s">
        <v>327</v>
      </c>
      <c r="M170" t="s">
        <v>328</v>
      </c>
      <c r="N170">
        <v>20689</v>
      </c>
      <c r="O170" t="str">
        <f>IF(OR(Table1_1[[#This Row],[Treatment Cost]]&gt;=20000,Table1_1[[#Headers],[Room Type]]="ICU"),"HIGH COST","NORMAL COST")</f>
        <v>HIGH COST</v>
      </c>
      <c r="P170" t="s">
        <v>322</v>
      </c>
      <c r="Q170" t="s">
        <v>323</v>
      </c>
    </row>
    <row r="171" spans="1:17" x14ac:dyDescent="0.35">
      <c r="A171" t="s">
        <v>238</v>
      </c>
      <c r="B171" t="s">
        <v>340</v>
      </c>
      <c r="C171" t="s">
        <v>19</v>
      </c>
      <c r="D171">
        <v>69</v>
      </c>
      <c r="E171" t="str">
        <f>IF(Table1_1[[#This Row],[Age]]&lt;=18,"CHILD",IF(Table1_1[[#This Row],[Age]]&lt;59,"ADULT","SENIOR"))</f>
        <v>SENIOR</v>
      </c>
      <c r="F171" t="str">
        <f>IF(AND(Table1_1[[#This Row],[Age]]&gt;=60,Table1_1[[#This Row],[Insurance Status]]="INSURED"),"SENIOR ELIGIBLE","NOT ELIGIBLE")</f>
        <v>NOT ELIGIBLE</v>
      </c>
      <c r="G171" t="s">
        <v>26</v>
      </c>
      <c r="H171" t="s">
        <v>325</v>
      </c>
      <c r="I171" t="s">
        <v>320</v>
      </c>
      <c r="J171" s="1">
        <v>46096</v>
      </c>
      <c r="K171" s="1">
        <v>46106</v>
      </c>
      <c r="L171" t="s">
        <v>332</v>
      </c>
      <c r="M171" t="s">
        <v>330</v>
      </c>
      <c r="N171">
        <v>20683</v>
      </c>
      <c r="O171" t="str">
        <f>IF(OR(Table1_1[[#This Row],[Treatment Cost]]&gt;=20000,Table1_1[[#Headers],[Room Type]]="ICU"),"HIGH COST","NORMAL COST")</f>
        <v>HIGH COST</v>
      </c>
      <c r="P171" t="s">
        <v>322</v>
      </c>
      <c r="Q171" t="s">
        <v>333</v>
      </c>
    </row>
    <row r="172" spans="1:17" x14ac:dyDescent="0.35">
      <c r="A172" t="s">
        <v>87</v>
      </c>
      <c r="B172" t="s">
        <v>340</v>
      </c>
      <c r="C172" t="s">
        <v>15</v>
      </c>
      <c r="D172">
        <v>79</v>
      </c>
      <c r="E172" t="str">
        <f>IF(Table1_1[[#This Row],[Age]]&lt;=18,"CHILD",IF(Table1_1[[#This Row],[Age]]&lt;59,"ADULT","SENIOR"))</f>
        <v>SENIOR</v>
      </c>
      <c r="F172" t="str">
        <f>IF(AND(Table1_1[[#This Row],[Age]]&gt;=60,Table1_1[[#This Row],[Insurance Status]]="INSURED"),"SENIOR ELIGIBLE","NOT ELIGIBLE")</f>
        <v>NOT ELIGIBLE</v>
      </c>
      <c r="G172" t="s">
        <v>22</v>
      </c>
      <c r="H172" t="s">
        <v>325</v>
      </c>
      <c r="I172" t="s">
        <v>338</v>
      </c>
      <c r="J172" s="1">
        <v>46049</v>
      </c>
      <c r="K172" s="1">
        <v>46051</v>
      </c>
      <c r="L172" t="s">
        <v>339</v>
      </c>
      <c r="M172" t="s">
        <v>335</v>
      </c>
      <c r="N172">
        <v>20634</v>
      </c>
      <c r="O172" t="str">
        <f>IF(OR(Table1_1[[#This Row],[Treatment Cost]]&gt;=20000,Table1_1[[#Headers],[Room Type]]="ICU"),"HIGH COST","NORMAL COST")</f>
        <v>HIGH COST</v>
      </c>
      <c r="P172" t="s">
        <v>322</v>
      </c>
      <c r="Q172" t="s">
        <v>323</v>
      </c>
    </row>
    <row r="173" spans="1:17" x14ac:dyDescent="0.35">
      <c r="A173" t="s">
        <v>171</v>
      </c>
      <c r="B173" t="s">
        <v>318</v>
      </c>
      <c r="C173" t="s">
        <v>19</v>
      </c>
      <c r="D173">
        <v>34</v>
      </c>
      <c r="E173" t="str">
        <f>IF(Table1_1[[#This Row],[Age]]&lt;=18,"CHILD",IF(Table1_1[[#This Row],[Age]]&lt;59,"ADULT","SENIOR"))</f>
        <v>ADULT</v>
      </c>
      <c r="F173" t="str">
        <f>IF(AND(Table1_1[[#This Row],[Age]]&gt;=60,Table1_1[[#This Row],[Insurance Status]]="INSURED"),"SENIOR ELIGIBLE","NOT ELIGIBLE")</f>
        <v>NOT ELIGIBLE</v>
      </c>
      <c r="G173" t="s">
        <v>26</v>
      </c>
      <c r="H173" t="s">
        <v>329</v>
      </c>
      <c r="I173" t="s">
        <v>320</v>
      </c>
      <c r="J173" s="1">
        <v>46158</v>
      </c>
      <c r="K173" s="1">
        <v>46159</v>
      </c>
      <c r="L173" t="s">
        <v>17</v>
      </c>
      <c r="M173" t="s">
        <v>328</v>
      </c>
      <c r="N173">
        <v>20537</v>
      </c>
      <c r="O173" t="str">
        <f>IF(OR(Table1_1[[#This Row],[Treatment Cost]]&gt;=20000,Table1_1[[#Headers],[Room Type]]="ICU"),"HIGH COST","NORMAL COST")</f>
        <v>HIGH COST</v>
      </c>
      <c r="P173" t="s">
        <v>331</v>
      </c>
      <c r="Q173" t="s">
        <v>323</v>
      </c>
    </row>
    <row r="174" spans="1:17" x14ac:dyDescent="0.35">
      <c r="A174" t="s">
        <v>246</v>
      </c>
      <c r="B174" t="s">
        <v>324</v>
      </c>
      <c r="C174" t="s">
        <v>15</v>
      </c>
      <c r="D174">
        <v>18</v>
      </c>
      <c r="E174" t="str">
        <f>IF(Table1_1[[#This Row],[Age]]&lt;=18,"CHILD",IF(Table1_1[[#This Row],[Age]]&lt;59,"ADULT","SENIOR"))</f>
        <v>CHILD</v>
      </c>
      <c r="F174" t="str">
        <f>IF(AND(Table1_1[[#This Row],[Age]]&gt;=60,Table1_1[[#This Row],[Insurance Status]]="INSURED"),"SENIOR ELIGIBLE","NOT ELIGIBLE")</f>
        <v>NOT ELIGIBLE</v>
      </c>
      <c r="G174" t="s">
        <v>20</v>
      </c>
      <c r="H174" t="s">
        <v>342</v>
      </c>
      <c r="I174" t="s">
        <v>320</v>
      </c>
      <c r="J174" s="1">
        <v>46081</v>
      </c>
      <c r="K174" s="1">
        <v>46083</v>
      </c>
      <c r="L174" t="s">
        <v>17</v>
      </c>
      <c r="M174" t="s">
        <v>328</v>
      </c>
      <c r="N174">
        <v>20420</v>
      </c>
      <c r="O174" t="str">
        <f>IF(OR(Table1_1[[#This Row],[Treatment Cost]]&gt;=20000,Table1_1[[#Headers],[Room Type]]="ICU"),"HIGH COST","NORMAL COST")</f>
        <v>HIGH COST</v>
      </c>
      <c r="P174" t="s">
        <v>331</v>
      </c>
      <c r="Q174" t="s">
        <v>23</v>
      </c>
    </row>
    <row r="175" spans="1:17" x14ac:dyDescent="0.35">
      <c r="A175" t="s">
        <v>170</v>
      </c>
      <c r="B175" t="s">
        <v>318</v>
      </c>
      <c r="C175" t="s">
        <v>15</v>
      </c>
      <c r="D175">
        <v>67</v>
      </c>
      <c r="E175" t="str">
        <f>IF(Table1_1[[#This Row],[Age]]&lt;=18,"CHILD",IF(Table1_1[[#This Row],[Age]]&lt;59,"ADULT","SENIOR"))</f>
        <v>SENIOR</v>
      </c>
      <c r="F175" t="str">
        <f>IF(AND(Table1_1[[#This Row],[Age]]&gt;=60,Table1_1[[#This Row],[Insurance Status]]="INSURED"),"SENIOR ELIGIBLE","NOT ELIGIBLE")</f>
        <v>NOT ELIGIBLE</v>
      </c>
      <c r="G175" t="s">
        <v>16</v>
      </c>
      <c r="H175" t="s">
        <v>325</v>
      </c>
      <c r="I175" t="s">
        <v>326</v>
      </c>
      <c r="J175" s="1">
        <v>46037</v>
      </c>
      <c r="K175" s="1">
        <v>46038</v>
      </c>
      <c r="L175" t="s">
        <v>17</v>
      </c>
      <c r="M175" t="s">
        <v>330</v>
      </c>
      <c r="N175">
        <v>20306</v>
      </c>
      <c r="O175" t="str">
        <f>IF(OR(Table1_1[[#This Row],[Treatment Cost]]&gt;=20000,Table1_1[[#Headers],[Room Type]]="ICU"),"HIGH COST","NORMAL COST")</f>
        <v>HIGH COST</v>
      </c>
      <c r="P175" t="s">
        <v>322</v>
      </c>
      <c r="Q175" t="s">
        <v>23</v>
      </c>
    </row>
    <row r="176" spans="1:17" x14ac:dyDescent="0.35">
      <c r="A176" t="s">
        <v>280</v>
      </c>
      <c r="B176" t="s">
        <v>340</v>
      </c>
      <c r="C176" t="s">
        <v>19</v>
      </c>
      <c r="D176">
        <v>48</v>
      </c>
      <c r="E176" t="str">
        <f>IF(Table1_1[[#This Row],[Age]]&lt;=18,"CHILD",IF(Table1_1[[#This Row],[Age]]&lt;59,"ADULT","SENIOR"))</f>
        <v>ADULT</v>
      </c>
      <c r="F176" t="str">
        <f>IF(AND(Table1_1[[#This Row],[Age]]&gt;=60,Table1_1[[#This Row],[Insurance Status]]="INSURED"),"SENIOR ELIGIBLE","NOT ELIGIBLE")</f>
        <v>NOT ELIGIBLE</v>
      </c>
      <c r="G176" t="s">
        <v>16</v>
      </c>
      <c r="H176" t="s">
        <v>325</v>
      </c>
      <c r="I176" t="s">
        <v>320</v>
      </c>
      <c r="J176" s="1">
        <v>46040</v>
      </c>
      <c r="K176" s="1">
        <v>46046</v>
      </c>
      <c r="L176" t="s">
        <v>339</v>
      </c>
      <c r="M176" t="s">
        <v>335</v>
      </c>
      <c r="N176">
        <v>20208</v>
      </c>
      <c r="O176" t="str">
        <f>IF(OR(Table1_1[[#This Row],[Treatment Cost]]&gt;=20000,Table1_1[[#Headers],[Room Type]]="ICU"),"HIGH COST","NORMAL COST")</f>
        <v>HIGH COST</v>
      </c>
      <c r="P176" t="s">
        <v>322</v>
      </c>
      <c r="Q176" t="s">
        <v>333</v>
      </c>
    </row>
    <row r="177" spans="1:17" x14ac:dyDescent="0.35">
      <c r="A177" t="s">
        <v>107</v>
      </c>
      <c r="B177" t="s">
        <v>337</v>
      </c>
      <c r="C177" t="s">
        <v>19</v>
      </c>
      <c r="D177">
        <v>77</v>
      </c>
      <c r="E177" t="str">
        <f>IF(Table1_1[[#This Row],[Age]]&lt;=18,"CHILD",IF(Table1_1[[#This Row],[Age]]&lt;59,"ADULT","SENIOR"))</f>
        <v>SENIOR</v>
      </c>
      <c r="F177" t="str">
        <f>IF(AND(Table1_1[[#This Row],[Age]]&gt;=60,Table1_1[[#This Row],[Insurance Status]]="INSURED"),"SENIOR ELIGIBLE","NOT ELIGIBLE")</f>
        <v>SENIOR ELIGIBLE</v>
      </c>
      <c r="G177" t="s">
        <v>20</v>
      </c>
      <c r="H177" t="s">
        <v>329</v>
      </c>
      <c r="I177" t="s">
        <v>320</v>
      </c>
      <c r="J177" s="1">
        <v>46083</v>
      </c>
      <c r="K177" s="1">
        <v>46092</v>
      </c>
      <c r="L177" t="s">
        <v>339</v>
      </c>
      <c r="M177" t="s">
        <v>335</v>
      </c>
      <c r="N177">
        <v>20118</v>
      </c>
      <c r="O177" t="str">
        <f>IF(OR(Table1_1[[#This Row],[Treatment Cost]]&gt;=20000,Table1_1[[#Headers],[Room Type]]="ICU"),"HIGH COST","NORMAL COST")</f>
        <v>HIGH COST</v>
      </c>
      <c r="P177" t="s">
        <v>331</v>
      </c>
      <c r="Q177" t="s">
        <v>323</v>
      </c>
    </row>
    <row r="178" spans="1:17" x14ac:dyDescent="0.35">
      <c r="A178" t="s">
        <v>43</v>
      </c>
      <c r="B178" t="s">
        <v>324</v>
      </c>
      <c r="C178" t="s">
        <v>15</v>
      </c>
      <c r="D178">
        <v>85</v>
      </c>
      <c r="E178" t="str">
        <f>IF(Table1_1[[#This Row],[Age]]&lt;=18,"CHILD",IF(Table1_1[[#This Row],[Age]]&lt;59,"ADULT","SENIOR"))</f>
        <v>SENIOR</v>
      </c>
      <c r="F178" t="str">
        <f>IF(AND(Table1_1[[#This Row],[Age]]&gt;=60,Table1_1[[#This Row],[Insurance Status]]="INSURED"),"SENIOR ELIGIBLE","NOT ELIGIBLE")</f>
        <v>NOT ELIGIBLE</v>
      </c>
      <c r="G178" t="s">
        <v>22</v>
      </c>
      <c r="H178" t="s">
        <v>325</v>
      </c>
      <c r="I178" t="s">
        <v>336</v>
      </c>
      <c r="J178" s="1">
        <v>46125</v>
      </c>
      <c r="K178" s="1">
        <v>46126</v>
      </c>
      <c r="L178" t="s">
        <v>332</v>
      </c>
      <c r="M178" t="s">
        <v>321</v>
      </c>
      <c r="N178">
        <v>19972</v>
      </c>
      <c r="O178" t="str">
        <f>IF(OR(Table1_1[[#This Row],[Treatment Cost]]&gt;=20000,Table1_1[[#Headers],[Room Type]]="ICU"),"HIGH COST","NORMAL COST")</f>
        <v>NORMAL COST</v>
      </c>
      <c r="P178" t="s">
        <v>322</v>
      </c>
      <c r="Q178" t="s">
        <v>23</v>
      </c>
    </row>
    <row r="179" spans="1:17" x14ac:dyDescent="0.35">
      <c r="A179" t="s">
        <v>198</v>
      </c>
      <c r="B179" t="s">
        <v>340</v>
      </c>
      <c r="C179" t="s">
        <v>15</v>
      </c>
      <c r="D179">
        <v>49</v>
      </c>
      <c r="E179" t="str">
        <f>IF(Table1_1[[#This Row],[Age]]&lt;=18,"CHILD",IF(Table1_1[[#This Row],[Age]]&lt;59,"ADULT","SENIOR"))</f>
        <v>ADULT</v>
      </c>
      <c r="F179" t="str">
        <f>IF(AND(Table1_1[[#This Row],[Age]]&gt;=60,Table1_1[[#This Row],[Insurance Status]]="INSURED"),"SENIOR ELIGIBLE","NOT ELIGIBLE")</f>
        <v>NOT ELIGIBLE</v>
      </c>
      <c r="G179" t="s">
        <v>20</v>
      </c>
      <c r="H179" t="s">
        <v>329</v>
      </c>
      <c r="I179" t="s">
        <v>320</v>
      </c>
      <c r="J179" s="1">
        <v>46121</v>
      </c>
      <c r="K179" s="1">
        <v>46129</v>
      </c>
      <c r="L179" t="s">
        <v>332</v>
      </c>
      <c r="M179" t="s">
        <v>321</v>
      </c>
      <c r="N179">
        <v>19865</v>
      </c>
      <c r="O179" t="str">
        <f>IF(OR(Table1_1[[#This Row],[Treatment Cost]]&gt;=20000,Table1_1[[#Headers],[Room Type]]="ICU"),"HIGH COST","NORMAL COST")</f>
        <v>NORMAL COST</v>
      </c>
      <c r="P179" t="s">
        <v>322</v>
      </c>
      <c r="Q179" t="s">
        <v>333</v>
      </c>
    </row>
    <row r="180" spans="1:17" x14ac:dyDescent="0.35">
      <c r="A180" t="s">
        <v>14</v>
      </c>
      <c r="B180" t="s">
        <v>318</v>
      </c>
      <c r="C180" t="s">
        <v>15</v>
      </c>
      <c r="D180">
        <v>39</v>
      </c>
      <c r="E180" t="str">
        <f>IF(Table1_1[[#This Row],[Age]]&lt;=18,"CHILD",IF(Table1_1[[#This Row],[Age]]&lt;59,"ADULT","SENIOR"))</f>
        <v>ADULT</v>
      </c>
      <c r="F180" t="str">
        <f>IF(AND(Table1_1[[#This Row],[Age]]&gt;=60,Table1_1[[#This Row],[Insurance Status]]="INSURED"),"SENIOR ELIGIBLE","NOT ELIGIBLE")</f>
        <v>NOT ELIGIBLE</v>
      </c>
      <c r="G180" t="s">
        <v>16</v>
      </c>
      <c r="H180" t="s">
        <v>319</v>
      </c>
      <c r="I180" t="s">
        <v>320</v>
      </c>
      <c r="J180" s="1">
        <v>46065</v>
      </c>
      <c r="K180" s="1">
        <v>46071</v>
      </c>
      <c r="L180" t="s">
        <v>17</v>
      </c>
      <c r="M180" t="s">
        <v>321</v>
      </c>
      <c r="N180">
        <v>19537</v>
      </c>
      <c r="O180" t="str">
        <f>IF(OR(Table1_1[[#This Row],[Treatment Cost]]&gt;=20000,Table1_1[[#Headers],[Room Type]]="ICU"),"HIGH COST","NORMAL COST")</f>
        <v>NORMAL COST</v>
      </c>
      <c r="P180" t="s">
        <v>322</v>
      </c>
      <c r="Q180" t="s">
        <v>323</v>
      </c>
    </row>
    <row r="181" spans="1:17" x14ac:dyDescent="0.35">
      <c r="A181" t="s">
        <v>72</v>
      </c>
      <c r="B181" t="s">
        <v>334</v>
      </c>
      <c r="C181" t="s">
        <v>15</v>
      </c>
      <c r="D181">
        <v>43</v>
      </c>
      <c r="E181" t="str">
        <f>IF(Table1_1[[#This Row],[Age]]&lt;=18,"CHILD",IF(Table1_1[[#This Row],[Age]]&lt;59,"ADULT","SENIOR"))</f>
        <v>ADULT</v>
      </c>
      <c r="F181" t="str">
        <f>IF(AND(Table1_1[[#This Row],[Age]]&gt;=60,Table1_1[[#This Row],[Insurance Status]]="INSURED"),"SENIOR ELIGIBLE","NOT ELIGIBLE")</f>
        <v>NOT ELIGIBLE</v>
      </c>
      <c r="G181" t="s">
        <v>16</v>
      </c>
      <c r="H181" t="s">
        <v>319</v>
      </c>
      <c r="I181" t="s">
        <v>336</v>
      </c>
      <c r="J181" s="1">
        <v>46145</v>
      </c>
      <c r="K181" s="1">
        <v>46151</v>
      </c>
      <c r="L181" t="s">
        <v>17</v>
      </c>
      <c r="M181" t="s">
        <v>330</v>
      </c>
      <c r="N181">
        <v>19513</v>
      </c>
      <c r="O181" t="str">
        <f>IF(OR(Table1_1[[#This Row],[Treatment Cost]]&gt;=20000,Table1_1[[#Headers],[Room Type]]="ICU"),"HIGH COST","NORMAL COST")</f>
        <v>NORMAL COST</v>
      </c>
      <c r="P181" t="s">
        <v>331</v>
      </c>
      <c r="Q181" t="s">
        <v>333</v>
      </c>
    </row>
    <row r="182" spans="1:17" x14ac:dyDescent="0.35">
      <c r="A182" t="s">
        <v>307</v>
      </c>
      <c r="B182" t="s">
        <v>337</v>
      </c>
      <c r="C182" t="s">
        <v>15</v>
      </c>
      <c r="D182">
        <v>26</v>
      </c>
      <c r="E182" t="str">
        <f>IF(Table1_1[[#This Row],[Age]]&lt;=18,"CHILD",IF(Table1_1[[#This Row],[Age]]&lt;59,"ADULT","SENIOR"))</f>
        <v>ADULT</v>
      </c>
      <c r="F182" t="str">
        <f>IF(AND(Table1_1[[#This Row],[Age]]&gt;=60,Table1_1[[#This Row],[Insurance Status]]="INSURED"),"SENIOR ELIGIBLE","NOT ELIGIBLE")</f>
        <v>NOT ELIGIBLE</v>
      </c>
      <c r="G182" t="s">
        <v>22</v>
      </c>
      <c r="H182" t="s">
        <v>319</v>
      </c>
      <c r="I182" t="s">
        <v>320</v>
      </c>
      <c r="J182" s="1">
        <v>46071</v>
      </c>
      <c r="K182" s="1">
        <v>46073</v>
      </c>
      <c r="L182" t="s">
        <v>339</v>
      </c>
      <c r="M182" t="s">
        <v>321</v>
      </c>
      <c r="N182">
        <v>19102</v>
      </c>
      <c r="O182" t="str">
        <f>IF(OR(Table1_1[[#This Row],[Treatment Cost]]&gt;=20000,Table1_1[[#Headers],[Room Type]]="ICU"),"HIGH COST","NORMAL COST")</f>
        <v>NORMAL COST</v>
      </c>
      <c r="P182" t="s">
        <v>322</v>
      </c>
      <c r="Q182" t="s">
        <v>323</v>
      </c>
    </row>
    <row r="183" spans="1:17" x14ac:dyDescent="0.35">
      <c r="A183" t="s">
        <v>244</v>
      </c>
      <c r="B183" t="s">
        <v>340</v>
      </c>
      <c r="C183" t="s">
        <v>15</v>
      </c>
      <c r="D183">
        <v>36</v>
      </c>
      <c r="E183" t="str">
        <f>IF(Table1_1[[#This Row],[Age]]&lt;=18,"CHILD",IF(Table1_1[[#This Row],[Age]]&lt;59,"ADULT","SENIOR"))</f>
        <v>ADULT</v>
      </c>
      <c r="F183" t="str">
        <f>IF(AND(Table1_1[[#This Row],[Age]]&gt;=60,Table1_1[[#This Row],[Insurance Status]]="INSURED"),"SENIOR ELIGIBLE","NOT ELIGIBLE")</f>
        <v>NOT ELIGIBLE</v>
      </c>
      <c r="G183" t="s">
        <v>22</v>
      </c>
      <c r="H183" t="s">
        <v>329</v>
      </c>
      <c r="I183" t="s">
        <v>320</v>
      </c>
      <c r="J183" s="1">
        <v>46033</v>
      </c>
      <c r="K183" s="1">
        <v>46043</v>
      </c>
      <c r="L183" t="s">
        <v>17</v>
      </c>
      <c r="M183" t="s">
        <v>328</v>
      </c>
      <c r="N183">
        <v>18868</v>
      </c>
      <c r="O183" t="str">
        <f>IF(OR(Table1_1[[#This Row],[Treatment Cost]]&gt;=20000,Table1_1[[#Headers],[Room Type]]="ICU"),"HIGH COST","NORMAL COST")</f>
        <v>NORMAL COST</v>
      </c>
      <c r="P183" t="s">
        <v>331</v>
      </c>
      <c r="Q183" t="s">
        <v>333</v>
      </c>
    </row>
    <row r="184" spans="1:17" x14ac:dyDescent="0.35">
      <c r="A184" t="s">
        <v>255</v>
      </c>
      <c r="B184" t="s">
        <v>334</v>
      </c>
      <c r="C184" t="s">
        <v>15</v>
      </c>
      <c r="D184">
        <v>30</v>
      </c>
      <c r="E184" t="str">
        <f>IF(Table1_1[[#This Row],[Age]]&lt;=18,"CHILD",IF(Table1_1[[#This Row],[Age]]&lt;59,"ADULT","SENIOR"))</f>
        <v>ADULT</v>
      </c>
      <c r="F184" t="str">
        <f>IF(AND(Table1_1[[#This Row],[Age]]&gt;=60,Table1_1[[#This Row],[Insurance Status]]="INSURED"),"SENIOR ELIGIBLE","NOT ELIGIBLE")</f>
        <v>NOT ELIGIBLE</v>
      </c>
      <c r="G184" t="s">
        <v>22</v>
      </c>
      <c r="H184" t="s">
        <v>329</v>
      </c>
      <c r="I184" t="s">
        <v>338</v>
      </c>
      <c r="J184" s="1">
        <v>46054</v>
      </c>
      <c r="K184" s="1">
        <v>46064</v>
      </c>
      <c r="L184" t="s">
        <v>17</v>
      </c>
      <c r="M184" t="s">
        <v>328</v>
      </c>
      <c r="N184">
        <v>18426</v>
      </c>
      <c r="O184" t="str">
        <f>IF(OR(Table1_1[[#This Row],[Treatment Cost]]&gt;=20000,Table1_1[[#Headers],[Room Type]]="ICU"),"HIGH COST","NORMAL COST")</f>
        <v>NORMAL COST</v>
      </c>
      <c r="P184" t="s">
        <v>322</v>
      </c>
      <c r="Q184" t="s">
        <v>333</v>
      </c>
    </row>
    <row r="185" spans="1:17" x14ac:dyDescent="0.35">
      <c r="A185" t="s">
        <v>28</v>
      </c>
      <c r="B185" t="s">
        <v>337</v>
      </c>
      <c r="C185" t="s">
        <v>19</v>
      </c>
      <c r="D185">
        <v>25</v>
      </c>
      <c r="E185" t="str">
        <f>IF(Table1_1[[#This Row],[Age]]&lt;=18,"CHILD",IF(Table1_1[[#This Row],[Age]]&lt;59,"ADULT","SENIOR"))</f>
        <v>ADULT</v>
      </c>
      <c r="F185" t="str">
        <f>IF(AND(Table1_1[[#This Row],[Age]]&gt;=60,Table1_1[[#This Row],[Insurance Status]]="INSURED"),"SENIOR ELIGIBLE","NOT ELIGIBLE")</f>
        <v>NOT ELIGIBLE</v>
      </c>
      <c r="G185" t="s">
        <v>16</v>
      </c>
      <c r="H185" t="s">
        <v>329</v>
      </c>
      <c r="I185" t="s">
        <v>338</v>
      </c>
      <c r="J185" s="1">
        <v>46120</v>
      </c>
      <c r="K185" s="1">
        <v>46125</v>
      </c>
      <c r="L185" t="s">
        <v>332</v>
      </c>
      <c r="M185" t="s">
        <v>328</v>
      </c>
      <c r="N185">
        <v>18211</v>
      </c>
      <c r="O185" t="str">
        <f>IF(OR(Table1_1[[#This Row],[Treatment Cost]]&gt;=20000,Table1_1[[#Headers],[Room Type]]="ICU"),"HIGH COST","NORMAL COST")</f>
        <v>NORMAL COST</v>
      </c>
      <c r="P185" t="s">
        <v>322</v>
      </c>
      <c r="Q185" t="s">
        <v>333</v>
      </c>
    </row>
    <row r="186" spans="1:17" x14ac:dyDescent="0.35">
      <c r="A186" t="s">
        <v>120</v>
      </c>
      <c r="B186" t="s">
        <v>324</v>
      </c>
      <c r="C186" t="s">
        <v>19</v>
      </c>
      <c r="D186">
        <v>73</v>
      </c>
      <c r="E186" t="str">
        <f>IF(Table1_1[[#This Row],[Age]]&lt;=18,"CHILD",IF(Table1_1[[#This Row],[Age]]&lt;59,"ADULT","SENIOR"))</f>
        <v>SENIOR</v>
      </c>
      <c r="F186" t="str">
        <f>IF(AND(Table1_1[[#This Row],[Age]]&gt;=60,Table1_1[[#This Row],[Insurance Status]]="INSURED"),"SENIOR ELIGIBLE","NOT ELIGIBLE")</f>
        <v>NOT ELIGIBLE</v>
      </c>
      <c r="G186" t="s">
        <v>16</v>
      </c>
      <c r="H186" t="s">
        <v>329</v>
      </c>
      <c r="I186" t="s">
        <v>338</v>
      </c>
      <c r="J186" s="1">
        <v>46098</v>
      </c>
      <c r="K186" s="1">
        <v>46102</v>
      </c>
      <c r="L186" t="s">
        <v>332</v>
      </c>
      <c r="M186" t="s">
        <v>335</v>
      </c>
      <c r="N186">
        <v>18028</v>
      </c>
      <c r="O186" t="str">
        <f>IF(OR(Table1_1[[#This Row],[Treatment Cost]]&gt;=20000,Table1_1[[#Headers],[Room Type]]="ICU"),"HIGH COST","NORMAL COST")</f>
        <v>NORMAL COST</v>
      </c>
      <c r="P186" t="s">
        <v>322</v>
      </c>
      <c r="Q186" t="s">
        <v>323</v>
      </c>
    </row>
    <row r="187" spans="1:17" x14ac:dyDescent="0.35">
      <c r="A187" t="s">
        <v>84</v>
      </c>
      <c r="B187" t="s">
        <v>334</v>
      </c>
      <c r="C187" t="s">
        <v>19</v>
      </c>
      <c r="D187">
        <v>81</v>
      </c>
      <c r="E187" t="str">
        <f>IF(Table1_1[[#This Row],[Age]]&lt;=18,"CHILD",IF(Table1_1[[#This Row],[Age]]&lt;59,"ADULT","SENIOR"))</f>
        <v>SENIOR</v>
      </c>
      <c r="F187" t="str">
        <f>IF(AND(Table1_1[[#This Row],[Age]]&gt;=60,Table1_1[[#This Row],[Insurance Status]]="INSURED"),"SENIOR ELIGIBLE","NOT ELIGIBLE")</f>
        <v>SENIOR ELIGIBLE</v>
      </c>
      <c r="G187" t="s">
        <v>16</v>
      </c>
      <c r="H187" t="s">
        <v>329</v>
      </c>
      <c r="I187" t="s">
        <v>338</v>
      </c>
      <c r="J187" s="1">
        <v>46186</v>
      </c>
      <c r="K187" s="1">
        <v>46194</v>
      </c>
      <c r="L187" t="s">
        <v>327</v>
      </c>
      <c r="M187" t="s">
        <v>321</v>
      </c>
      <c r="N187">
        <v>18001</v>
      </c>
      <c r="O187" t="str">
        <f>IF(OR(Table1_1[[#This Row],[Treatment Cost]]&gt;=20000,Table1_1[[#Headers],[Room Type]]="ICU"),"HIGH COST","NORMAL COST")</f>
        <v>NORMAL COST</v>
      </c>
      <c r="P187" t="s">
        <v>331</v>
      </c>
      <c r="Q187" t="s">
        <v>333</v>
      </c>
    </row>
    <row r="188" spans="1:17" x14ac:dyDescent="0.35">
      <c r="A188" t="s">
        <v>97</v>
      </c>
      <c r="B188" t="s">
        <v>337</v>
      </c>
      <c r="C188" t="s">
        <v>19</v>
      </c>
      <c r="D188">
        <v>62</v>
      </c>
      <c r="E188" t="str">
        <f>IF(Table1_1[[#This Row],[Age]]&lt;=18,"CHILD",IF(Table1_1[[#This Row],[Age]]&lt;59,"ADULT","SENIOR"))</f>
        <v>SENIOR</v>
      </c>
      <c r="F188" t="str">
        <f>IF(AND(Table1_1[[#This Row],[Age]]&gt;=60,Table1_1[[#This Row],[Insurance Status]]="INSURED"),"SENIOR ELIGIBLE","NOT ELIGIBLE")</f>
        <v>NOT ELIGIBLE</v>
      </c>
      <c r="G188" t="s">
        <v>22</v>
      </c>
      <c r="H188" t="s">
        <v>329</v>
      </c>
      <c r="I188" t="s">
        <v>338</v>
      </c>
      <c r="J188" s="1">
        <v>46090</v>
      </c>
      <c r="K188" s="1">
        <v>46093</v>
      </c>
      <c r="L188" t="s">
        <v>339</v>
      </c>
      <c r="M188" t="s">
        <v>330</v>
      </c>
      <c r="N188">
        <v>17868</v>
      </c>
      <c r="O188" t="str">
        <f>IF(OR(Table1_1[[#This Row],[Treatment Cost]]&gt;=20000,Table1_1[[#Headers],[Room Type]]="ICU"),"HIGH COST","NORMAL COST")</f>
        <v>NORMAL COST</v>
      </c>
      <c r="P188" t="s">
        <v>322</v>
      </c>
      <c r="Q188" t="s">
        <v>323</v>
      </c>
    </row>
    <row r="189" spans="1:17" x14ac:dyDescent="0.35">
      <c r="A189" t="s">
        <v>271</v>
      </c>
      <c r="B189" t="s">
        <v>337</v>
      </c>
      <c r="C189" t="s">
        <v>19</v>
      </c>
      <c r="D189">
        <v>29</v>
      </c>
      <c r="E189" t="str">
        <f>IF(Table1_1[[#This Row],[Age]]&lt;=18,"CHILD",IF(Table1_1[[#This Row],[Age]]&lt;59,"ADULT","SENIOR"))</f>
        <v>ADULT</v>
      </c>
      <c r="F189" t="str">
        <f>IF(AND(Table1_1[[#This Row],[Age]]&gt;=60,Table1_1[[#This Row],[Insurance Status]]="INSURED"),"SENIOR ELIGIBLE","NOT ELIGIBLE")</f>
        <v>NOT ELIGIBLE</v>
      </c>
      <c r="G189" t="s">
        <v>22</v>
      </c>
      <c r="H189" t="s">
        <v>319</v>
      </c>
      <c r="I189" t="s">
        <v>336</v>
      </c>
      <c r="J189" s="1">
        <v>46203</v>
      </c>
      <c r="K189" s="1">
        <v>46213</v>
      </c>
      <c r="L189" t="s">
        <v>332</v>
      </c>
      <c r="M189" t="s">
        <v>330</v>
      </c>
      <c r="N189">
        <v>17814</v>
      </c>
      <c r="O189" t="str">
        <f>IF(OR(Table1_1[[#This Row],[Treatment Cost]]&gt;=20000,Table1_1[[#Headers],[Room Type]]="ICU"),"HIGH COST","NORMAL COST")</f>
        <v>NORMAL COST</v>
      </c>
      <c r="P189" t="s">
        <v>322</v>
      </c>
      <c r="Q189" t="s">
        <v>323</v>
      </c>
    </row>
    <row r="190" spans="1:17" x14ac:dyDescent="0.35">
      <c r="A190" t="s">
        <v>49</v>
      </c>
      <c r="B190" t="s">
        <v>334</v>
      </c>
      <c r="C190" t="s">
        <v>15</v>
      </c>
      <c r="D190">
        <v>72</v>
      </c>
      <c r="E190" t="str">
        <f>IF(Table1_1[[#This Row],[Age]]&lt;=18,"CHILD",IF(Table1_1[[#This Row],[Age]]&lt;59,"ADULT","SENIOR"))</f>
        <v>SENIOR</v>
      </c>
      <c r="F190" t="str">
        <f>IF(AND(Table1_1[[#This Row],[Age]]&gt;=60,Table1_1[[#This Row],[Insurance Status]]="INSURED"),"SENIOR ELIGIBLE","NOT ELIGIBLE")</f>
        <v>NOT ELIGIBLE</v>
      </c>
      <c r="G190" t="s">
        <v>20</v>
      </c>
      <c r="H190" t="s">
        <v>342</v>
      </c>
      <c r="I190" t="s">
        <v>320</v>
      </c>
      <c r="J190" s="1">
        <v>46188</v>
      </c>
      <c r="K190" s="1">
        <v>46195</v>
      </c>
      <c r="L190" t="s">
        <v>332</v>
      </c>
      <c r="M190" t="s">
        <v>321</v>
      </c>
      <c r="N190">
        <v>17378</v>
      </c>
      <c r="O190" t="str">
        <f>IF(OR(Table1_1[[#This Row],[Treatment Cost]]&gt;=20000,Table1_1[[#Headers],[Room Type]]="ICU"),"HIGH COST","NORMAL COST")</f>
        <v>NORMAL COST</v>
      </c>
      <c r="P190" t="s">
        <v>322</v>
      </c>
      <c r="Q190" t="s">
        <v>333</v>
      </c>
    </row>
    <row r="191" spans="1:17" x14ac:dyDescent="0.35">
      <c r="A191" t="s">
        <v>317</v>
      </c>
      <c r="B191" t="s">
        <v>341</v>
      </c>
      <c r="C191" t="s">
        <v>15</v>
      </c>
      <c r="D191">
        <v>78</v>
      </c>
      <c r="E191" t="str">
        <f>IF(Table1_1[[#This Row],[Age]]&lt;=18,"CHILD",IF(Table1_1[[#This Row],[Age]]&lt;59,"ADULT","SENIOR"))</f>
        <v>SENIOR</v>
      </c>
      <c r="F191" t="str">
        <f>IF(AND(Table1_1[[#This Row],[Age]]&gt;=60,Table1_1[[#This Row],[Insurance Status]]="INSURED"),"SENIOR ELIGIBLE","NOT ELIGIBLE")</f>
        <v>SENIOR ELIGIBLE</v>
      </c>
      <c r="G191" t="s">
        <v>26</v>
      </c>
      <c r="H191" t="s">
        <v>329</v>
      </c>
      <c r="I191" t="s">
        <v>338</v>
      </c>
      <c r="J191" s="1">
        <v>46091</v>
      </c>
      <c r="K191" s="1">
        <v>46101</v>
      </c>
      <c r="L191" t="s">
        <v>339</v>
      </c>
      <c r="M191" t="s">
        <v>321</v>
      </c>
      <c r="N191">
        <v>17332</v>
      </c>
      <c r="O191" t="str">
        <f>IF(OR(Table1_1[[#This Row],[Treatment Cost]]&gt;=20000,Table1_1[[#Headers],[Room Type]]="ICU"),"HIGH COST","NORMAL COST")</f>
        <v>NORMAL COST</v>
      </c>
      <c r="P191" t="s">
        <v>331</v>
      </c>
      <c r="Q191" t="s">
        <v>23</v>
      </c>
    </row>
    <row r="192" spans="1:17" x14ac:dyDescent="0.35">
      <c r="A192" t="s">
        <v>145</v>
      </c>
      <c r="B192" t="s">
        <v>334</v>
      </c>
      <c r="C192" t="s">
        <v>15</v>
      </c>
      <c r="D192">
        <v>26</v>
      </c>
      <c r="E192" t="str">
        <f>IF(Table1_1[[#This Row],[Age]]&lt;=18,"CHILD",IF(Table1_1[[#This Row],[Age]]&lt;59,"ADULT","SENIOR"))</f>
        <v>ADULT</v>
      </c>
      <c r="F192" t="str">
        <f>IF(AND(Table1_1[[#This Row],[Age]]&gt;=60,Table1_1[[#This Row],[Insurance Status]]="INSURED"),"SENIOR ELIGIBLE","NOT ELIGIBLE")</f>
        <v>NOT ELIGIBLE</v>
      </c>
      <c r="G192" t="s">
        <v>16</v>
      </c>
      <c r="H192" t="s">
        <v>329</v>
      </c>
      <c r="I192" t="s">
        <v>326</v>
      </c>
      <c r="J192" s="1">
        <v>46050</v>
      </c>
      <c r="K192" s="1">
        <v>46053</v>
      </c>
      <c r="L192" t="s">
        <v>17</v>
      </c>
      <c r="M192" t="s">
        <v>335</v>
      </c>
      <c r="N192">
        <v>17231</v>
      </c>
      <c r="O192" t="str">
        <f>IF(OR(Table1_1[[#This Row],[Treatment Cost]]&gt;=20000,Table1_1[[#Headers],[Room Type]]="ICU"),"HIGH COST","NORMAL COST")</f>
        <v>NORMAL COST</v>
      </c>
      <c r="P192" t="s">
        <v>331</v>
      </c>
      <c r="Q192" t="s">
        <v>323</v>
      </c>
    </row>
    <row r="193" spans="1:17" x14ac:dyDescent="0.35">
      <c r="A193" t="s">
        <v>38</v>
      </c>
      <c r="B193" t="s">
        <v>318</v>
      </c>
      <c r="C193" t="s">
        <v>15</v>
      </c>
      <c r="D193">
        <v>79</v>
      </c>
      <c r="E193" t="str">
        <f>IF(Table1_1[[#This Row],[Age]]&lt;=18,"CHILD",IF(Table1_1[[#This Row],[Age]]&lt;59,"ADULT","SENIOR"))</f>
        <v>SENIOR</v>
      </c>
      <c r="F193" t="str">
        <f>IF(AND(Table1_1[[#This Row],[Age]]&gt;=60,Table1_1[[#This Row],[Insurance Status]]="INSURED"),"SENIOR ELIGIBLE","NOT ELIGIBLE")</f>
        <v>NOT ELIGIBLE</v>
      </c>
      <c r="G193" t="s">
        <v>26</v>
      </c>
      <c r="H193" t="s">
        <v>325</v>
      </c>
      <c r="I193" t="s">
        <v>338</v>
      </c>
      <c r="J193" s="1">
        <v>46143</v>
      </c>
      <c r="K193" s="1">
        <v>46145</v>
      </c>
      <c r="L193" t="s">
        <v>339</v>
      </c>
      <c r="M193" t="s">
        <v>328</v>
      </c>
      <c r="N193">
        <v>17198</v>
      </c>
      <c r="O193" t="str">
        <f>IF(OR(Table1_1[[#This Row],[Treatment Cost]]&gt;=20000,Table1_1[[#Headers],[Room Type]]="ICU"),"HIGH COST","NORMAL COST")</f>
        <v>NORMAL COST</v>
      </c>
      <c r="P193" t="s">
        <v>322</v>
      </c>
      <c r="Q193" t="s">
        <v>23</v>
      </c>
    </row>
    <row r="194" spans="1:17" x14ac:dyDescent="0.35">
      <c r="A194" t="s">
        <v>88</v>
      </c>
      <c r="B194" t="s">
        <v>337</v>
      </c>
      <c r="C194" t="s">
        <v>15</v>
      </c>
      <c r="D194">
        <v>47</v>
      </c>
      <c r="E194" t="str">
        <f>IF(Table1_1[[#This Row],[Age]]&lt;=18,"CHILD",IF(Table1_1[[#This Row],[Age]]&lt;59,"ADULT","SENIOR"))</f>
        <v>ADULT</v>
      </c>
      <c r="F194" t="str">
        <f>IF(AND(Table1_1[[#This Row],[Age]]&gt;=60,Table1_1[[#This Row],[Insurance Status]]="INSURED"),"SENIOR ELIGIBLE","NOT ELIGIBLE")</f>
        <v>NOT ELIGIBLE</v>
      </c>
      <c r="G194" t="s">
        <v>16</v>
      </c>
      <c r="H194" t="s">
        <v>342</v>
      </c>
      <c r="I194" t="s">
        <v>338</v>
      </c>
      <c r="J194" s="1">
        <v>46153</v>
      </c>
      <c r="K194" s="1">
        <v>46155</v>
      </c>
      <c r="L194" t="s">
        <v>332</v>
      </c>
      <c r="M194" t="s">
        <v>328</v>
      </c>
      <c r="N194">
        <v>16917</v>
      </c>
      <c r="O194" t="str">
        <f>IF(OR(Table1_1[[#This Row],[Treatment Cost]]&gt;=20000,Table1_1[[#Headers],[Room Type]]="ICU"),"HIGH COST","NORMAL COST")</f>
        <v>NORMAL COST</v>
      </c>
      <c r="P194" t="s">
        <v>322</v>
      </c>
      <c r="Q194" t="s">
        <v>23</v>
      </c>
    </row>
    <row r="195" spans="1:17" x14ac:dyDescent="0.35">
      <c r="A195" t="s">
        <v>274</v>
      </c>
      <c r="B195" t="s">
        <v>337</v>
      </c>
      <c r="C195" t="s">
        <v>15</v>
      </c>
      <c r="D195">
        <v>25</v>
      </c>
      <c r="E195" t="str">
        <f>IF(Table1_1[[#This Row],[Age]]&lt;=18,"CHILD",IF(Table1_1[[#This Row],[Age]]&lt;59,"ADULT","SENIOR"))</f>
        <v>ADULT</v>
      </c>
      <c r="F195" t="str">
        <f>IF(AND(Table1_1[[#This Row],[Age]]&gt;=60,Table1_1[[#This Row],[Insurance Status]]="INSURED"),"SENIOR ELIGIBLE","NOT ELIGIBLE")</f>
        <v>NOT ELIGIBLE</v>
      </c>
      <c r="G195" t="s">
        <v>16</v>
      </c>
      <c r="H195" t="s">
        <v>325</v>
      </c>
      <c r="I195" t="s">
        <v>326</v>
      </c>
      <c r="J195" s="1">
        <v>46023</v>
      </c>
      <c r="K195" s="1">
        <v>46031</v>
      </c>
      <c r="L195" t="s">
        <v>327</v>
      </c>
      <c r="M195" t="s">
        <v>335</v>
      </c>
      <c r="N195">
        <v>16793</v>
      </c>
      <c r="O195" t="str">
        <f>IF(OR(Table1_1[[#This Row],[Treatment Cost]]&gt;=20000,Table1_1[[#Headers],[Room Type]]="ICU"),"HIGH COST","NORMAL COST")</f>
        <v>NORMAL COST</v>
      </c>
      <c r="P195" t="s">
        <v>331</v>
      </c>
      <c r="Q195" t="s">
        <v>333</v>
      </c>
    </row>
    <row r="196" spans="1:17" x14ac:dyDescent="0.35">
      <c r="A196" t="s">
        <v>129</v>
      </c>
      <c r="B196" t="s">
        <v>324</v>
      </c>
      <c r="C196" t="s">
        <v>19</v>
      </c>
      <c r="D196">
        <v>26</v>
      </c>
      <c r="E196" t="str">
        <f>IF(Table1_1[[#This Row],[Age]]&lt;=18,"CHILD",IF(Table1_1[[#This Row],[Age]]&lt;59,"ADULT","SENIOR"))</f>
        <v>ADULT</v>
      </c>
      <c r="F196" t="str">
        <f>IF(AND(Table1_1[[#This Row],[Age]]&gt;=60,Table1_1[[#This Row],[Insurance Status]]="INSURED"),"SENIOR ELIGIBLE","NOT ELIGIBLE")</f>
        <v>NOT ELIGIBLE</v>
      </c>
      <c r="G196" t="s">
        <v>26</v>
      </c>
      <c r="H196" t="s">
        <v>329</v>
      </c>
      <c r="I196" t="s">
        <v>336</v>
      </c>
      <c r="J196" s="1">
        <v>46148</v>
      </c>
      <c r="K196" s="1">
        <v>46154</v>
      </c>
      <c r="L196" t="s">
        <v>332</v>
      </c>
      <c r="M196" t="s">
        <v>328</v>
      </c>
      <c r="N196">
        <v>16723</v>
      </c>
      <c r="O196" t="str">
        <f>IF(OR(Table1_1[[#This Row],[Treatment Cost]]&gt;=20000,Table1_1[[#Headers],[Room Type]]="ICU"),"HIGH COST","NORMAL COST")</f>
        <v>NORMAL COST</v>
      </c>
      <c r="P196" t="s">
        <v>322</v>
      </c>
      <c r="Q196" t="s">
        <v>333</v>
      </c>
    </row>
    <row r="197" spans="1:17" x14ac:dyDescent="0.35">
      <c r="A197" t="s">
        <v>226</v>
      </c>
      <c r="B197" t="s">
        <v>318</v>
      </c>
      <c r="C197" t="s">
        <v>19</v>
      </c>
      <c r="D197">
        <v>49</v>
      </c>
      <c r="E197" t="str">
        <f>IF(Table1_1[[#This Row],[Age]]&lt;=18,"CHILD",IF(Table1_1[[#This Row],[Age]]&lt;59,"ADULT","SENIOR"))</f>
        <v>ADULT</v>
      </c>
      <c r="F197" t="str">
        <f>IF(AND(Table1_1[[#This Row],[Age]]&gt;=60,Table1_1[[#This Row],[Insurance Status]]="INSURED"),"SENIOR ELIGIBLE","NOT ELIGIBLE")</f>
        <v>NOT ELIGIBLE</v>
      </c>
      <c r="G197" t="s">
        <v>22</v>
      </c>
      <c r="H197" t="s">
        <v>329</v>
      </c>
      <c r="I197" t="s">
        <v>336</v>
      </c>
      <c r="J197" s="1">
        <v>46194</v>
      </c>
      <c r="K197" s="1">
        <v>46201</v>
      </c>
      <c r="L197" t="s">
        <v>17</v>
      </c>
      <c r="M197" t="s">
        <v>328</v>
      </c>
      <c r="N197">
        <v>16722</v>
      </c>
      <c r="O197" t="str">
        <f>IF(OR(Table1_1[[#This Row],[Treatment Cost]]&gt;=20000,Table1_1[[#Headers],[Room Type]]="ICU"),"HIGH COST","NORMAL COST")</f>
        <v>NORMAL COST</v>
      </c>
      <c r="P197" t="s">
        <v>322</v>
      </c>
      <c r="Q197" t="s">
        <v>323</v>
      </c>
    </row>
    <row r="198" spans="1:17" x14ac:dyDescent="0.35">
      <c r="A198" t="s">
        <v>189</v>
      </c>
      <c r="B198" t="s">
        <v>334</v>
      </c>
      <c r="C198" t="s">
        <v>15</v>
      </c>
      <c r="D198">
        <v>46</v>
      </c>
      <c r="E198" t="str">
        <f>IF(Table1_1[[#This Row],[Age]]&lt;=18,"CHILD",IF(Table1_1[[#This Row],[Age]]&lt;59,"ADULT","SENIOR"))</f>
        <v>ADULT</v>
      </c>
      <c r="F198" t="str">
        <f>IF(AND(Table1_1[[#This Row],[Age]]&gt;=60,Table1_1[[#This Row],[Insurance Status]]="INSURED"),"SENIOR ELIGIBLE","NOT ELIGIBLE")</f>
        <v>NOT ELIGIBLE</v>
      </c>
      <c r="G198" t="s">
        <v>16</v>
      </c>
      <c r="H198" t="s">
        <v>342</v>
      </c>
      <c r="I198" t="s">
        <v>320</v>
      </c>
      <c r="J198" s="1">
        <v>46044</v>
      </c>
      <c r="K198" s="1">
        <v>46053</v>
      </c>
      <c r="L198" t="s">
        <v>332</v>
      </c>
      <c r="M198" t="s">
        <v>330</v>
      </c>
      <c r="N198">
        <v>16702</v>
      </c>
      <c r="O198" t="str">
        <f>IF(OR(Table1_1[[#This Row],[Treatment Cost]]&gt;=20000,Table1_1[[#Headers],[Room Type]]="ICU"),"HIGH COST","NORMAL COST")</f>
        <v>NORMAL COST</v>
      </c>
      <c r="P198" t="s">
        <v>322</v>
      </c>
      <c r="Q198" t="s">
        <v>323</v>
      </c>
    </row>
    <row r="199" spans="1:17" x14ac:dyDescent="0.35">
      <c r="A199" t="s">
        <v>243</v>
      </c>
      <c r="B199" t="s">
        <v>340</v>
      </c>
      <c r="C199" t="s">
        <v>15</v>
      </c>
      <c r="D199">
        <v>29</v>
      </c>
      <c r="E199" t="str">
        <f>IF(Table1_1[[#This Row],[Age]]&lt;=18,"CHILD",IF(Table1_1[[#This Row],[Age]]&lt;59,"ADULT","SENIOR"))</f>
        <v>ADULT</v>
      </c>
      <c r="F199" t="str">
        <f>IF(AND(Table1_1[[#This Row],[Age]]&gt;=60,Table1_1[[#This Row],[Insurance Status]]="INSURED"),"SENIOR ELIGIBLE","NOT ELIGIBLE")</f>
        <v>NOT ELIGIBLE</v>
      </c>
      <c r="G199" t="s">
        <v>26</v>
      </c>
      <c r="H199" t="s">
        <v>325</v>
      </c>
      <c r="I199" t="s">
        <v>326</v>
      </c>
      <c r="J199" s="1">
        <v>46145</v>
      </c>
      <c r="K199" s="1">
        <v>46151</v>
      </c>
      <c r="L199" t="s">
        <v>332</v>
      </c>
      <c r="M199" t="s">
        <v>321</v>
      </c>
      <c r="N199">
        <v>16651</v>
      </c>
      <c r="O199" t="str">
        <f>IF(OR(Table1_1[[#This Row],[Treatment Cost]]&gt;=20000,Table1_1[[#Headers],[Room Type]]="ICU"),"HIGH COST","NORMAL COST")</f>
        <v>NORMAL COST</v>
      </c>
      <c r="P199" t="s">
        <v>331</v>
      </c>
      <c r="Q199" t="s">
        <v>23</v>
      </c>
    </row>
    <row r="200" spans="1:17" x14ac:dyDescent="0.35">
      <c r="A200" t="s">
        <v>278</v>
      </c>
      <c r="B200" t="s">
        <v>340</v>
      </c>
      <c r="C200" t="s">
        <v>19</v>
      </c>
      <c r="D200">
        <v>70</v>
      </c>
      <c r="E200" t="str">
        <f>IF(Table1_1[[#This Row],[Age]]&lt;=18,"CHILD",IF(Table1_1[[#This Row],[Age]]&lt;59,"ADULT","SENIOR"))</f>
        <v>SENIOR</v>
      </c>
      <c r="F200" t="str">
        <f>IF(AND(Table1_1[[#This Row],[Age]]&gt;=60,Table1_1[[#This Row],[Insurance Status]]="INSURED"),"SENIOR ELIGIBLE","NOT ELIGIBLE")</f>
        <v>SENIOR ELIGIBLE</v>
      </c>
      <c r="G200" t="s">
        <v>22</v>
      </c>
      <c r="H200" t="s">
        <v>319</v>
      </c>
      <c r="I200" t="s">
        <v>320</v>
      </c>
      <c r="J200" s="1">
        <v>46097</v>
      </c>
      <c r="K200" s="1">
        <v>46101</v>
      </c>
      <c r="L200" t="s">
        <v>327</v>
      </c>
      <c r="M200" t="s">
        <v>335</v>
      </c>
      <c r="N200">
        <v>16598</v>
      </c>
      <c r="O200" t="str">
        <f>IF(OR(Table1_1[[#This Row],[Treatment Cost]]&gt;=20000,Table1_1[[#Headers],[Room Type]]="ICU"),"HIGH COST","NORMAL COST")</f>
        <v>NORMAL COST</v>
      </c>
      <c r="P200" t="s">
        <v>331</v>
      </c>
      <c r="Q200" t="s">
        <v>333</v>
      </c>
    </row>
    <row r="201" spans="1:17" x14ac:dyDescent="0.35">
      <c r="A201" t="s">
        <v>220</v>
      </c>
      <c r="B201" t="s">
        <v>318</v>
      </c>
      <c r="C201" t="s">
        <v>19</v>
      </c>
      <c r="D201">
        <v>79</v>
      </c>
      <c r="E201" t="str">
        <f>IF(Table1_1[[#This Row],[Age]]&lt;=18,"CHILD",IF(Table1_1[[#This Row],[Age]]&lt;59,"ADULT","SENIOR"))</f>
        <v>SENIOR</v>
      </c>
      <c r="F201" t="str">
        <f>IF(AND(Table1_1[[#This Row],[Age]]&gt;=60,Table1_1[[#This Row],[Insurance Status]]="INSURED"),"SENIOR ELIGIBLE","NOT ELIGIBLE")</f>
        <v>NOT ELIGIBLE</v>
      </c>
      <c r="G201" t="s">
        <v>16</v>
      </c>
      <c r="H201" t="s">
        <v>342</v>
      </c>
      <c r="I201" t="s">
        <v>336</v>
      </c>
      <c r="J201" s="1">
        <v>46195</v>
      </c>
      <c r="K201" s="1">
        <v>46199</v>
      </c>
      <c r="L201" t="s">
        <v>332</v>
      </c>
      <c r="M201" t="s">
        <v>321</v>
      </c>
      <c r="N201">
        <v>16141</v>
      </c>
      <c r="O201" t="str">
        <f>IF(OR(Table1_1[[#This Row],[Treatment Cost]]&gt;=20000,Table1_1[[#Headers],[Room Type]]="ICU"),"HIGH COST","NORMAL COST")</f>
        <v>NORMAL COST</v>
      </c>
      <c r="P201" t="s">
        <v>322</v>
      </c>
      <c r="Q201" t="s">
        <v>23</v>
      </c>
    </row>
    <row r="202" spans="1:17" x14ac:dyDescent="0.35">
      <c r="A202" t="s">
        <v>207</v>
      </c>
      <c r="B202" t="s">
        <v>340</v>
      </c>
      <c r="C202" t="s">
        <v>19</v>
      </c>
      <c r="D202">
        <v>41</v>
      </c>
      <c r="E202" t="str">
        <f>IF(Table1_1[[#This Row],[Age]]&lt;=18,"CHILD",IF(Table1_1[[#This Row],[Age]]&lt;59,"ADULT","SENIOR"))</f>
        <v>ADULT</v>
      </c>
      <c r="F202" t="str">
        <f>IF(AND(Table1_1[[#This Row],[Age]]&gt;=60,Table1_1[[#This Row],[Insurance Status]]="INSURED"),"SENIOR ELIGIBLE","NOT ELIGIBLE")</f>
        <v>NOT ELIGIBLE</v>
      </c>
      <c r="G202" t="s">
        <v>22</v>
      </c>
      <c r="H202" t="s">
        <v>325</v>
      </c>
      <c r="I202" t="s">
        <v>336</v>
      </c>
      <c r="J202" s="1">
        <v>46127</v>
      </c>
      <c r="K202" s="1">
        <v>46135</v>
      </c>
      <c r="L202" t="s">
        <v>327</v>
      </c>
      <c r="M202" t="s">
        <v>330</v>
      </c>
      <c r="N202">
        <v>16034</v>
      </c>
      <c r="O202" t="str">
        <f>IF(OR(Table1_1[[#This Row],[Treatment Cost]]&gt;=20000,Table1_1[[#Headers],[Room Type]]="ICU"),"HIGH COST","NORMAL COST")</f>
        <v>NORMAL COST</v>
      </c>
      <c r="P202" t="s">
        <v>322</v>
      </c>
      <c r="Q202" t="s">
        <v>23</v>
      </c>
    </row>
    <row r="203" spans="1:17" x14ac:dyDescent="0.35">
      <c r="A203" t="s">
        <v>156</v>
      </c>
      <c r="B203" t="s">
        <v>341</v>
      </c>
      <c r="C203" t="s">
        <v>19</v>
      </c>
      <c r="D203">
        <v>42</v>
      </c>
      <c r="E203" t="str">
        <f>IF(Table1_1[[#This Row],[Age]]&lt;=18,"CHILD",IF(Table1_1[[#This Row],[Age]]&lt;59,"ADULT","SENIOR"))</f>
        <v>ADULT</v>
      </c>
      <c r="F203" t="str">
        <f>IF(AND(Table1_1[[#This Row],[Age]]&gt;=60,Table1_1[[#This Row],[Insurance Status]]="INSURED"),"SENIOR ELIGIBLE","NOT ELIGIBLE")</f>
        <v>NOT ELIGIBLE</v>
      </c>
      <c r="G203" t="s">
        <v>20</v>
      </c>
      <c r="H203" t="s">
        <v>342</v>
      </c>
      <c r="I203" t="s">
        <v>326</v>
      </c>
      <c r="J203" s="1">
        <v>46193</v>
      </c>
      <c r="K203" s="1">
        <v>46201</v>
      </c>
      <c r="L203" t="s">
        <v>327</v>
      </c>
      <c r="M203" t="s">
        <v>330</v>
      </c>
      <c r="N203">
        <v>15968</v>
      </c>
      <c r="O203" t="str">
        <f>IF(OR(Table1_1[[#This Row],[Treatment Cost]]&gt;=20000,Table1_1[[#Headers],[Room Type]]="ICU"),"HIGH COST","NORMAL COST")</f>
        <v>NORMAL COST</v>
      </c>
      <c r="P203" t="s">
        <v>331</v>
      </c>
      <c r="Q203" t="s">
        <v>333</v>
      </c>
    </row>
    <row r="204" spans="1:17" x14ac:dyDescent="0.35">
      <c r="A204" t="s">
        <v>270</v>
      </c>
      <c r="B204" t="s">
        <v>318</v>
      </c>
      <c r="C204" t="s">
        <v>19</v>
      </c>
      <c r="D204">
        <v>24</v>
      </c>
      <c r="E204" t="str">
        <f>IF(Table1_1[[#This Row],[Age]]&lt;=18,"CHILD",IF(Table1_1[[#This Row],[Age]]&lt;59,"ADULT","SENIOR"))</f>
        <v>ADULT</v>
      </c>
      <c r="F204" t="str">
        <f>IF(AND(Table1_1[[#This Row],[Age]]&gt;=60,Table1_1[[#This Row],[Insurance Status]]="INSURED"),"SENIOR ELIGIBLE","NOT ELIGIBLE")</f>
        <v>NOT ELIGIBLE</v>
      </c>
      <c r="G204" t="s">
        <v>20</v>
      </c>
      <c r="H204" t="s">
        <v>342</v>
      </c>
      <c r="I204" t="s">
        <v>336</v>
      </c>
      <c r="J204" s="1">
        <v>46140</v>
      </c>
      <c r="K204" s="1">
        <v>46147</v>
      </c>
      <c r="L204" t="s">
        <v>17</v>
      </c>
      <c r="M204" t="s">
        <v>328</v>
      </c>
      <c r="N204">
        <v>15743</v>
      </c>
      <c r="O204" t="str">
        <f>IF(OR(Table1_1[[#This Row],[Treatment Cost]]&gt;=20000,Table1_1[[#Headers],[Room Type]]="ICU"),"HIGH COST","NORMAL COST")</f>
        <v>NORMAL COST</v>
      </c>
      <c r="P204" t="s">
        <v>331</v>
      </c>
      <c r="Q204" t="s">
        <v>333</v>
      </c>
    </row>
    <row r="205" spans="1:17" x14ac:dyDescent="0.35">
      <c r="A205" t="s">
        <v>57</v>
      </c>
      <c r="B205" t="s">
        <v>341</v>
      </c>
      <c r="C205" t="s">
        <v>19</v>
      </c>
      <c r="D205">
        <v>38</v>
      </c>
      <c r="E205" t="str">
        <f>IF(Table1_1[[#This Row],[Age]]&lt;=18,"CHILD",IF(Table1_1[[#This Row],[Age]]&lt;59,"ADULT","SENIOR"))</f>
        <v>ADULT</v>
      </c>
      <c r="F205" t="str">
        <f>IF(AND(Table1_1[[#This Row],[Age]]&gt;=60,Table1_1[[#This Row],[Insurance Status]]="INSURED"),"SENIOR ELIGIBLE","NOT ELIGIBLE")</f>
        <v>NOT ELIGIBLE</v>
      </c>
      <c r="G205" t="s">
        <v>22</v>
      </c>
      <c r="H205" t="s">
        <v>329</v>
      </c>
      <c r="I205" t="s">
        <v>320</v>
      </c>
      <c r="J205" s="1">
        <v>46033</v>
      </c>
      <c r="K205" s="1">
        <v>46040</v>
      </c>
      <c r="L205" t="s">
        <v>327</v>
      </c>
      <c r="M205" t="s">
        <v>321</v>
      </c>
      <c r="N205">
        <v>15648</v>
      </c>
      <c r="O205" t="str">
        <f>IF(OR(Table1_1[[#This Row],[Treatment Cost]]&gt;=20000,Table1_1[[#Headers],[Room Type]]="ICU"),"HIGH COST","NORMAL COST")</f>
        <v>NORMAL COST</v>
      </c>
      <c r="P205" t="s">
        <v>322</v>
      </c>
      <c r="Q205" t="s">
        <v>333</v>
      </c>
    </row>
    <row r="206" spans="1:17" x14ac:dyDescent="0.35">
      <c r="A206" t="s">
        <v>287</v>
      </c>
      <c r="B206" t="s">
        <v>340</v>
      </c>
      <c r="C206" t="s">
        <v>15</v>
      </c>
      <c r="D206">
        <v>27</v>
      </c>
      <c r="E206" t="str">
        <f>IF(Table1_1[[#This Row],[Age]]&lt;=18,"CHILD",IF(Table1_1[[#This Row],[Age]]&lt;59,"ADULT","SENIOR"))</f>
        <v>ADULT</v>
      </c>
      <c r="F206" t="str">
        <f>IF(AND(Table1_1[[#This Row],[Age]]&gt;=60,Table1_1[[#This Row],[Insurance Status]]="INSURED"),"SENIOR ELIGIBLE","NOT ELIGIBLE")</f>
        <v>NOT ELIGIBLE</v>
      </c>
      <c r="G206" t="s">
        <v>16</v>
      </c>
      <c r="H206" t="s">
        <v>325</v>
      </c>
      <c r="I206" t="s">
        <v>320</v>
      </c>
      <c r="J206" s="1">
        <v>46192</v>
      </c>
      <c r="K206" s="1">
        <v>46193</v>
      </c>
      <c r="L206" t="s">
        <v>17</v>
      </c>
      <c r="M206" t="s">
        <v>328</v>
      </c>
      <c r="N206">
        <v>15531</v>
      </c>
      <c r="O206" t="str">
        <f>IF(OR(Table1_1[[#This Row],[Treatment Cost]]&gt;=20000,Table1_1[[#Headers],[Room Type]]="ICU"),"HIGH COST","NORMAL COST")</f>
        <v>NORMAL COST</v>
      </c>
      <c r="P206" t="s">
        <v>322</v>
      </c>
      <c r="Q206" t="s">
        <v>23</v>
      </c>
    </row>
    <row r="207" spans="1:17" x14ac:dyDescent="0.35">
      <c r="A207" t="s">
        <v>306</v>
      </c>
      <c r="B207" t="s">
        <v>334</v>
      </c>
      <c r="C207" t="s">
        <v>15</v>
      </c>
      <c r="D207">
        <v>19</v>
      </c>
      <c r="E207" t="str">
        <f>IF(Table1_1[[#This Row],[Age]]&lt;=18,"CHILD",IF(Table1_1[[#This Row],[Age]]&lt;59,"ADULT","SENIOR"))</f>
        <v>ADULT</v>
      </c>
      <c r="F207" t="str">
        <f>IF(AND(Table1_1[[#This Row],[Age]]&gt;=60,Table1_1[[#This Row],[Insurance Status]]="INSURED"),"SENIOR ELIGIBLE","NOT ELIGIBLE")</f>
        <v>NOT ELIGIBLE</v>
      </c>
      <c r="G207" t="s">
        <v>22</v>
      </c>
      <c r="H207" t="s">
        <v>329</v>
      </c>
      <c r="I207" t="s">
        <v>336</v>
      </c>
      <c r="J207" s="1">
        <v>46070</v>
      </c>
      <c r="K207" s="1">
        <v>46078</v>
      </c>
      <c r="L207" t="s">
        <v>339</v>
      </c>
      <c r="M207" t="s">
        <v>321</v>
      </c>
      <c r="N207">
        <v>15511</v>
      </c>
      <c r="O207" t="str">
        <f>IF(OR(Table1_1[[#This Row],[Treatment Cost]]&gt;=20000,Table1_1[[#Headers],[Room Type]]="ICU"),"HIGH COST","NORMAL COST")</f>
        <v>NORMAL COST</v>
      </c>
      <c r="P207" t="s">
        <v>331</v>
      </c>
      <c r="Q207" t="s">
        <v>23</v>
      </c>
    </row>
    <row r="208" spans="1:17" x14ac:dyDescent="0.35">
      <c r="A208" t="s">
        <v>69</v>
      </c>
      <c r="B208" t="s">
        <v>340</v>
      </c>
      <c r="C208" t="s">
        <v>19</v>
      </c>
      <c r="D208">
        <v>51</v>
      </c>
      <c r="E208" t="str">
        <f>IF(Table1_1[[#This Row],[Age]]&lt;=18,"CHILD",IF(Table1_1[[#This Row],[Age]]&lt;59,"ADULT","SENIOR"))</f>
        <v>ADULT</v>
      </c>
      <c r="F208" t="str">
        <f>IF(AND(Table1_1[[#This Row],[Age]]&gt;=60,Table1_1[[#This Row],[Insurance Status]]="INSURED"),"SENIOR ELIGIBLE","NOT ELIGIBLE")</f>
        <v>NOT ELIGIBLE</v>
      </c>
      <c r="G208" t="s">
        <v>22</v>
      </c>
      <c r="H208" t="s">
        <v>342</v>
      </c>
      <c r="I208" t="s">
        <v>320</v>
      </c>
      <c r="J208" s="1">
        <v>46152</v>
      </c>
      <c r="K208" s="1">
        <v>46161</v>
      </c>
      <c r="L208" t="s">
        <v>332</v>
      </c>
      <c r="M208" t="s">
        <v>330</v>
      </c>
      <c r="N208">
        <v>15487</v>
      </c>
      <c r="O208" t="str">
        <f>IF(OR(Table1_1[[#This Row],[Treatment Cost]]&gt;=20000,Table1_1[[#Headers],[Room Type]]="ICU"),"HIGH COST","NORMAL COST")</f>
        <v>NORMAL COST</v>
      </c>
      <c r="P208" t="s">
        <v>331</v>
      </c>
      <c r="Q208" t="s">
        <v>333</v>
      </c>
    </row>
    <row r="209" spans="1:17" x14ac:dyDescent="0.35">
      <c r="A209" t="s">
        <v>157</v>
      </c>
      <c r="B209" t="s">
        <v>340</v>
      </c>
      <c r="C209" t="s">
        <v>19</v>
      </c>
      <c r="D209">
        <v>53</v>
      </c>
      <c r="E209" t="str">
        <f>IF(Table1_1[[#This Row],[Age]]&lt;=18,"CHILD",IF(Table1_1[[#This Row],[Age]]&lt;59,"ADULT","SENIOR"))</f>
        <v>ADULT</v>
      </c>
      <c r="F209" t="str">
        <f>IF(AND(Table1_1[[#This Row],[Age]]&gt;=60,Table1_1[[#This Row],[Insurance Status]]="INSURED"),"SENIOR ELIGIBLE","NOT ELIGIBLE")</f>
        <v>NOT ELIGIBLE</v>
      </c>
      <c r="G209" t="s">
        <v>20</v>
      </c>
      <c r="H209" t="s">
        <v>329</v>
      </c>
      <c r="I209" t="s">
        <v>326</v>
      </c>
      <c r="J209" s="1">
        <v>46045</v>
      </c>
      <c r="K209" s="1">
        <v>46050</v>
      </c>
      <c r="L209" t="s">
        <v>327</v>
      </c>
      <c r="M209" t="s">
        <v>328</v>
      </c>
      <c r="N209">
        <v>15431</v>
      </c>
      <c r="O209" t="str">
        <f>IF(OR(Table1_1[[#This Row],[Treatment Cost]]&gt;=20000,Table1_1[[#Headers],[Room Type]]="ICU"),"HIGH COST","NORMAL COST")</f>
        <v>NORMAL COST</v>
      </c>
      <c r="P209" t="s">
        <v>322</v>
      </c>
      <c r="Q209" t="s">
        <v>23</v>
      </c>
    </row>
    <row r="210" spans="1:17" x14ac:dyDescent="0.35">
      <c r="A210" t="s">
        <v>131</v>
      </c>
      <c r="B210" t="s">
        <v>340</v>
      </c>
      <c r="C210" t="s">
        <v>19</v>
      </c>
      <c r="D210">
        <v>27</v>
      </c>
      <c r="E210" t="str">
        <f>IF(Table1_1[[#This Row],[Age]]&lt;=18,"CHILD",IF(Table1_1[[#This Row],[Age]]&lt;59,"ADULT","SENIOR"))</f>
        <v>ADULT</v>
      </c>
      <c r="F210" t="str">
        <f>IF(AND(Table1_1[[#This Row],[Age]]&gt;=60,Table1_1[[#This Row],[Insurance Status]]="INSURED"),"SENIOR ELIGIBLE","NOT ELIGIBLE")</f>
        <v>NOT ELIGIBLE</v>
      </c>
      <c r="G210" t="s">
        <v>26</v>
      </c>
      <c r="H210" t="s">
        <v>319</v>
      </c>
      <c r="I210" t="s">
        <v>338</v>
      </c>
      <c r="J210" s="1">
        <v>46137</v>
      </c>
      <c r="K210" s="1">
        <v>46143</v>
      </c>
      <c r="L210" t="s">
        <v>327</v>
      </c>
      <c r="M210" t="s">
        <v>335</v>
      </c>
      <c r="N210">
        <v>14800</v>
      </c>
      <c r="O210" t="str">
        <f>IF(OR(Table1_1[[#This Row],[Treatment Cost]]&gt;=20000,Table1_1[[#Headers],[Room Type]]="ICU"),"HIGH COST","NORMAL COST")</f>
        <v>NORMAL COST</v>
      </c>
      <c r="P210" t="s">
        <v>322</v>
      </c>
      <c r="Q210" t="s">
        <v>333</v>
      </c>
    </row>
    <row r="211" spans="1:17" x14ac:dyDescent="0.35">
      <c r="A211" t="s">
        <v>272</v>
      </c>
      <c r="B211" t="s">
        <v>340</v>
      </c>
      <c r="C211" t="s">
        <v>19</v>
      </c>
      <c r="D211">
        <v>22</v>
      </c>
      <c r="E211" t="str">
        <f>IF(Table1_1[[#This Row],[Age]]&lt;=18,"CHILD",IF(Table1_1[[#This Row],[Age]]&lt;59,"ADULT","SENIOR"))</f>
        <v>ADULT</v>
      </c>
      <c r="F211" t="str">
        <f>IF(AND(Table1_1[[#This Row],[Age]]&gt;=60,Table1_1[[#This Row],[Insurance Status]]="INSURED"),"SENIOR ELIGIBLE","NOT ELIGIBLE")</f>
        <v>NOT ELIGIBLE</v>
      </c>
      <c r="G211" t="s">
        <v>20</v>
      </c>
      <c r="H211" t="s">
        <v>329</v>
      </c>
      <c r="I211" t="s">
        <v>338</v>
      </c>
      <c r="J211" s="1">
        <v>46077</v>
      </c>
      <c r="K211" s="1">
        <v>46086</v>
      </c>
      <c r="L211" t="s">
        <v>339</v>
      </c>
      <c r="M211" t="s">
        <v>328</v>
      </c>
      <c r="N211">
        <v>14657</v>
      </c>
      <c r="O211" t="str">
        <f>IF(OR(Table1_1[[#This Row],[Treatment Cost]]&gt;=20000,Table1_1[[#Headers],[Room Type]]="ICU"),"HIGH COST","NORMAL COST")</f>
        <v>NORMAL COST</v>
      </c>
      <c r="P211" t="s">
        <v>331</v>
      </c>
      <c r="Q211" t="s">
        <v>323</v>
      </c>
    </row>
    <row r="212" spans="1:17" x14ac:dyDescent="0.35">
      <c r="A212" t="s">
        <v>185</v>
      </c>
      <c r="B212" t="s">
        <v>318</v>
      </c>
      <c r="C212" t="s">
        <v>19</v>
      </c>
      <c r="D212">
        <v>54</v>
      </c>
      <c r="E212" t="str">
        <f>IF(Table1_1[[#This Row],[Age]]&lt;=18,"CHILD",IF(Table1_1[[#This Row],[Age]]&lt;59,"ADULT","SENIOR"))</f>
        <v>ADULT</v>
      </c>
      <c r="F212" t="str">
        <f>IF(AND(Table1_1[[#This Row],[Age]]&gt;=60,Table1_1[[#This Row],[Insurance Status]]="INSURED"),"SENIOR ELIGIBLE","NOT ELIGIBLE")</f>
        <v>NOT ELIGIBLE</v>
      </c>
      <c r="G212" t="s">
        <v>20</v>
      </c>
      <c r="H212" t="s">
        <v>325</v>
      </c>
      <c r="I212" t="s">
        <v>336</v>
      </c>
      <c r="J212" s="1">
        <v>46146</v>
      </c>
      <c r="K212" s="1">
        <v>46148</v>
      </c>
      <c r="L212" t="s">
        <v>332</v>
      </c>
      <c r="M212" t="s">
        <v>328</v>
      </c>
      <c r="N212">
        <v>14589</v>
      </c>
      <c r="O212" t="str">
        <f>IF(OR(Table1_1[[#This Row],[Treatment Cost]]&gt;=20000,Table1_1[[#Headers],[Room Type]]="ICU"),"HIGH COST","NORMAL COST")</f>
        <v>NORMAL COST</v>
      </c>
      <c r="P212" t="s">
        <v>322</v>
      </c>
      <c r="Q212" t="s">
        <v>23</v>
      </c>
    </row>
    <row r="213" spans="1:17" x14ac:dyDescent="0.35">
      <c r="A213" t="s">
        <v>281</v>
      </c>
      <c r="B213" t="s">
        <v>334</v>
      </c>
      <c r="C213" t="s">
        <v>15</v>
      </c>
      <c r="D213">
        <v>22</v>
      </c>
      <c r="E213" t="str">
        <f>IF(Table1_1[[#This Row],[Age]]&lt;=18,"CHILD",IF(Table1_1[[#This Row],[Age]]&lt;59,"ADULT","SENIOR"))</f>
        <v>ADULT</v>
      </c>
      <c r="F213" t="str">
        <f>IF(AND(Table1_1[[#This Row],[Age]]&gt;=60,Table1_1[[#This Row],[Insurance Status]]="INSURED"),"SENIOR ELIGIBLE","NOT ELIGIBLE")</f>
        <v>NOT ELIGIBLE</v>
      </c>
      <c r="G213" t="s">
        <v>22</v>
      </c>
      <c r="H213" t="s">
        <v>325</v>
      </c>
      <c r="I213" t="s">
        <v>320</v>
      </c>
      <c r="J213" s="1">
        <v>46138</v>
      </c>
      <c r="K213" s="1">
        <v>46142</v>
      </c>
      <c r="L213" t="s">
        <v>17</v>
      </c>
      <c r="M213" t="s">
        <v>328</v>
      </c>
      <c r="N213">
        <v>14589</v>
      </c>
      <c r="O213" t="str">
        <f>IF(OR(Table1_1[[#This Row],[Treatment Cost]]&gt;=20000,Table1_1[[#Headers],[Room Type]]="ICU"),"HIGH COST","NORMAL COST")</f>
        <v>NORMAL COST</v>
      </c>
      <c r="P213" t="s">
        <v>322</v>
      </c>
      <c r="Q213" t="s">
        <v>323</v>
      </c>
    </row>
    <row r="214" spans="1:17" x14ac:dyDescent="0.35">
      <c r="A214" t="s">
        <v>199</v>
      </c>
      <c r="B214" t="s">
        <v>340</v>
      </c>
      <c r="C214" t="s">
        <v>15</v>
      </c>
      <c r="D214">
        <v>73</v>
      </c>
      <c r="E214" t="str">
        <f>IF(Table1_1[[#This Row],[Age]]&lt;=18,"CHILD",IF(Table1_1[[#This Row],[Age]]&lt;59,"ADULT","SENIOR"))</f>
        <v>SENIOR</v>
      </c>
      <c r="F214" t="str">
        <f>IF(AND(Table1_1[[#This Row],[Age]]&gt;=60,Table1_1[[#This Row],[Insurance Status]]="INSURED"),"SENIOR ELIGIBLE","NOT ELIGIBLE")</f>
        <v>NOT ELIGIBLE</v>
      </c>
      <c r="G214" t="s">
        <v>16</v>
      </c>
      <c r="H214" t="s">
        <v>329</v>
      </c>
      <c r="I214" t="s">
        <v>320</v>
      </c>
      <c r="J214" s="1">
        <v>46068</v>
      </c>
      <c r="K214" s="1">
        <v>46074</v>
      </c>
      <c r="L214" t="s">
        <v>332</v>
      </c>
      <c r="M214" t="s">
        <v>321</v>
      </c>
      <c r="N214">
        <v>14460</v>
      </c>
      <c r="O214" t="str">
        <f>IF(OR(Table1_1[[#This Row],[Treatment Cost]]&gt;=20000,Table1_1[[#Headers],[Room Type]]="ICU"),"HIGH COST","NORMAL COST")</f>
        <v>NORMAL COST</v>
      </c>
      <c r="P214" t="s">
        <v>322</v>
      </c>
      <c r="Q214" t="s">
        <v>23</v>
      </c>
    </row>
    <row r="215" spans="1:17" x14ac:dyDescent="0.35">
      <c r="A215" t="s">
        <v>56</v>
      </c>
      <c r="B215" t="s">
        <v>318</v>
      </c>
      <c r="C215" t="s">
        <v>19</v>
      </c>
      <c r="D215">
        <v>35</v>
      </c>
      <c r="E215" t="str">
        <f>IF(Table1_1[[#This Row],[Age]]&lt;=18,"CHILD",IF(Table1_1[[#This Row],[Age]]&lt;59,"ADULT","SENIOR"))</f>
        <v>ADULT</v>
      </c>
      <c r="F215" t="str">
        <f>IF(AND(Table1_1[[#This Row],[Age]]&gt;=60,Table1_1[[#This Row],[Insurance Status]]="INSURED"),"SENIOR ELIGIBLE","NOT ELIGIBLE")</f>
        <v>NOT ELIGIBLE</v>
      </c>
      <c r="G215" t="s">
        <v>16</v>
      </c>
      <c r="H215" t="s">
        <v>325</v>
      </c>
      <c r="I215" t="s">
        <v>336</v>
      </c>
      <c r="J215" s="1">
        <v>46025</v>
      </c>
      <c r="K215" s="1">
        <v>46032</v>
      </c>
      <c r="L215" t="s">
        <v>332</v>
      </c>
      <c r="M215" t="s">
        <v>328</v>
      </c>
      <c r="N215">
        <v>14457</v>
      </c>
      <c r="O215" t="str">
        <f>IF(OR(Table1_1[[#This Row],[Treatment Cost]]&gt;=20000,Table1_1[[#Headers],[Room Type]]="ICU"),"HIGH COST","NORMAL COST")</f>
        <v>NORMAL COST</v>
      </c>
      <c r="P215" t="s">
        <v>322</v>
      </c>
      <c r="Q215" t="s">
        <v>23</v>
      </c>
    </row>
    <row r="216" spans="1:17" x14ac:dyDescent="0.35">
      <c r="A216" t="s">
        <v>31</v>
      </c>
      <c r="B216" t="s">
        <v>341</v>
      </c>
      <c r="C216" t="s">
        <v>15</v>
      </c>
      <c r="D216">
        <v>48</v>
      </c>
      <c r="E216" t="str">
        <f>IF(Table1_1[[#This Row],[Age]]&lt;=18,"CHILD",IF(Table1_1[[#This Row],[Age]]&lt;59,"ADULT","SENIOR"))</f>
        <v>ADULT</v>
      </c>
      <c r="F216" t="str">
        <f>IF(AND(Table1_1[[#This Row],[Age]]&gt;=60,Table1_1[[#This Row],[Insurance Status]]="INSURED"),"SENIOR ELIGIBLE","NOT ELIGIBLE")</f>
        <v>NOT ELIGIBLE</v>
      </c>
      <c r="G216" t="s">
        <v>22</v>
      </c>
      <c r="H216" t="s">
        <v>325</v>
      </c>
      <c r="I216" t="s">
        <v>336</v>
      </c>
      <c r="J216" s="1">
        <v>46099</v>
      </c>
      <c r="K216" s="1">
        <v>46105</v>
      </c>
      <c r="L216" t="s">
        <v>17</v>
      </c>
      <c r="M216" t="s">
        <v>335</v>
      </c>
      <c r="N216">
        <v>14451</v>
      </c>
      <c r="O216" t="str">
        <f>IF(OR(Table1_1[[#This Row],[Treatment Cost]]&gt;=20000,Table1_1[[#Headers],[Room Type]]="ICU"),"HIGH COST","NORMAL COST")</f>
        <v>NORMAL COST</v>
      </c>
      <c r="P216" t="s">
        <v>331</v>
      </c>
      <c r="Q216" t="s">
        <v>333</v>
      </c>
    </row>
    <row r="217" spans="1:17" x14ac:dyDescent="0.35">
      <c r="A217" t="s">
        <v>240</v>
      </c>
      <c r="B217" t="s">
        <v>324</v>
      </c>
      <c r="C217" t="s">
        <v>15</v>
      </c>
      <c r="D217">
        <v>56</v>
      </c>
      <c r="E217" t="str">
        <f>IF(Table1_1[[#This Row],[Age]]&lt;=18,"CHILD",IF(Table1_1[[#This Row],[Age]]&lt;59,"ADULT","SENIOR"))</f>
        <v>ADULT</v>
      </c>
      <c r="F217" t="str">
        <f>IF(AND(Table1_1[[#This Row],[Age]]&gt;=60,Table1_1[[#This Row],[Insurance Status]]="INSURED"),"SENIOR ELIGIBLE","NOT ELIGIBLE")</f>
        <v>NOT ELIGIBLE</v>
      </c>
      <c r="G217" t="s">
        <v>20</v>
      </c>
      <c r="H217" t="s">
        <v>329</v>
      </c>
      <c r="I217" t="s">
        <v>338</v>
      </c>
      <c r="J217" s="1">
        <v>46099</v>
      </c>
      <c r="K217" s="1">
        <v>46102</v>
      </c>
      <c r="L217" t="s">
        <v>327</v>
      </c>
      <c r="M217" t="s">
        <v>335</v>
      </c>
      <c r="N217">
        <v>14267</v>
      </c>
      <c r="O217" t="str">
        <f>IF(OR(Table1_1[[#This Row],[Treatment Cost]]&gt;=20000,Table1_1[[#Headers],[Room Type]]="ICU"),"HIGH COST","NORMAL COST")</f>
        <v>NORMAL COST</v>
      </c>
      <c r="P217" t="s">
        <v>322</v>
      </c>
      <c r="Q217" t="s">
        <v>323</v>
      </c>
    </row>
    <row r="218" spans="1:17" x14ac:dyDescent="0.35">
      <c r="A218" t="s">
        <v>176</v>
      </c>
      <c r="B218" t="s">
        <v>334</v>
      </c>
      <c r="C218" t="s">
        <v>19</v>
      </c>
      <c r="D218">
        <v>74</v>
      </c>
      <c r="E218" t="str">
        <f>IF(Table1_1[[#This Row],[Age]]&lt;=18,"CHILD",IF(Table1_1[[#This Row],[Age]]&lt;59,"ADULT","SENIOR"))</f>
        <v>SENIOR</v>
      </c>
      <c r="F218" t="str">
        <f>IF(AND(Table1_1[[#This Row],[Age]]&gt;=60,Table1_1[[#This Row],[Insurance Status]]="INSURED"),"SENIOR ELIGIBLE","NOT ELIGIBLE")</f>
        <v>SENIOR ELIGIBLE</v>
      </c>
      <c r="G218" t="s">
        <v>20</v>
      </c>
      <c r="H218" t="s">
        <v>325</v>
      </c>
      <c r="I218" t="s">
        <v>326</v>
      </c>
      <c r="J218" s="1">
        <v>46043</v>
      </c>
      <c r="K218" s="1">
        <v>46050</v>
      </c>
      <c r="L218" t="s">
        <v>327</v>
      </c>
      <c r="M218" t="s">
        <v>321</v>
      </c>
      <c r="N218">
        <v>14169</v>
      </c>
      <c r="O218" t="str">
        <f>IF(OR(Table1_1[[#This Row],[Treatment Cost]]&gt;=20000,Table1_1[[#Headers],[Room Type]]="ICU"),"HIGH COST","NORMAL COST")</f>
        <v>NORMAL COST</v>
      </c>
      <c r="P218" t="s">
        <v>331</v>
      </c>
      <c r="Q218" t="s">
        <v>333</v>
      </c>
    </row>
    <row r="219" spans="1:17" x14ac:dyDescent="0.35">
      <c r="A219" t="s">
        <v>135</v>
      </c>
      <c r="B219" t="s">
        <v>340</v>
      </c>
      <c r="C219" t="s">
        <v>15</v>
      </c>
      <c r="D219">
        <v>26</v>
      </c>
      <c r="E219" t="str">
        <f>IF(Table1_1[[#This Row],[Age]]&lt;=18,"CHILD",IF(Table1_1[[#This Row],[Age]]&lt;59,"ADULT","SENIOR"))</f>
        <v>ADULT</v>
      </c>
      <c r="F219" t="str">
        <f>IF(AND(Table1_1[[#This Row],[Age]]&gt;=60,Table1_1[[#This Row],[Insurance Status]]="INSURED"),"SENIOR ELIGIBLE","NOT ELIGIBLE")</f>
        <v>NOT ELIGIBLE</v>
      </c>
      <c r="G219" t="s">
        <v>22</v>
      </c>
      <c r="H219" t="s">
        <v>342</v>
      </c>
      <c r="I219" t="s">
        <v>336</v>
      </c>
      <c r="J219" s="1">
        <v>46119</v>
      </c>
      <c r="K219" s="1">
        <v>46125</v>
      </c>
      <c r="L219" t="s">
        <v>332</v>
      </c>
      <c r="M219" t="s">
        <v>328</v>
      </c>
      <c r="N219">
        <v>13982</v>
      </c>
      <c r="O219" t="str">
        <f>IF(OR(Table1_1[[#This Row],[Treatment Cost]]&gt;=20000,Table1_1[[#Headers],[Room Type]]="ICU"),"HIGH COST","NORMAL COST")</f>
        <v>NORMAL COST</v>
      </c>
      <c r="P219" t="s">
        <v>322</v>
      </c>
      <c r="Q219" t="s">
        <v>333</v>
      </c>
    </row>
    <row r="220" spans="1:17" x14ac:dyDescent="0.35">
      <c r="A220" t="s">
        <v>48</v>
      </c>
      <c r="B220" t="s">
        <v>318</v>
      </c>
      <c r="C220" t="s">
        <v>19</v>
      </c>
      <c r="D220">
        <v>19</v>
      </c>
      <c r="E220" t="str">
        <f>IF(Table1_1[[#This Row],[Age]]&lt;=18,"CHILD",IF(Table1_1[[#This Row],[Age]]&lt;59,"ADULT","SENIOR"))</f>
        <v>ADULT</v>
      </c>
      <c r="F220" t="str">
        <f>IF(AND(Table1_1[[#This Row],[Age]]&gt;=60,Table1_1[[#This Row],[Insurance Status]]="INSURED"),"SENIOR ELIGIBLE","NOT ELIGIBLE")</f>
        <v>NOT ELIGIBLE</v>
      </c>
      <c r="G220" t="s">
        <v>20</v>
      </c>
      <c r="H220" t="s">
        <v>329</v>
      </c>
      <c r="I220" t="s">
        <v>338</v>
      </c>
      <c r="J220" s="1">
        <v>46078</v>
      </c>
      <c r="K220" s="1">
        <v>46080</v>
      </c>
      <c r="L220" t="s">
        <v>17</v>
      </c>
      <c r="M220" t="s">
        <v>330</v>
      </c>
      <c r="N220">
        <v>13910</v>
      </c>
      <c r="O220" t="str">
        <f>IF(OR(Table1_1[[#This Row],[Treatment Cost]]&gt;=20000,Table1_1[[#Headers],[Room Type]]="ICU"),"HIGH COST","NORMAL COST")</f>
        <v>NORMAL COST</v>
      </c>
      <c r="P220" t="s">
        <v>322</v>
      </c>
      <c r="Q220" t="s">
        <v>323</v>
      </c>
    </row>
    <row r="221" spans="1:17" x14ac:dyDescent="0.35">
      <c r="A221" t="s">
        <v>90</v>
      </c>
      <c r="B221" t="s">
        <v>340</v>
      </c>
      <c r="C221" t="s">
        <v>15</v>
      </c>
      <c r="D221">
        <v>54</v>
      </c>
      <c r="E221" t="str">
        <f>IF(Table1_1[[#This Row],[Age]]&lt;=18,"CHILD",IF(Table1_1[[#This Row],[Age]]&lt;59,"ADULT","SENIOR"))</f>
        <v>ADULT</v>
      </c>
      <c r="F221" t="str">
        <f>IF(AND(Table1_1[[#This Row],[Age]]&gt;=60,Table1_1[[#This Row],[Insurance Status]]="INSURED"),"SENIOR ELIGIBLE","NOT ELIGIBLE")</f>
        <v>NOT ELIGIBLE</v>
      </c>
      <c r="G221" t="s">
        <v>20</v>
      </c>
      <c r="H221" t="s">
        <v>319</v>
      </c>
      <c r="I221" t="s">
        <v>326</v>
      </c>
      <c r="J221" s="1">
        <v>46137</v>
      </c>
      <c r="K221" s="1">
        <v>46138</v>
      </c>
      <c r="L221" t="s">
        <v>17</v>
      </c>
      <c r="M221" t="s">
        <v>330</v>
      </c>
      <c r="N221">
        <v>13758</v>
      </c>
      <c r="O221" t="str">
        <f>IF(OR(Table1_1[[#This Row],[Treatment Cost]]&gt;=20000,Table1_1[[#Headers],[Room Type]]="ICU"),"HIGH COST","NORMAL COST")</f>
        <v>NORMAL COST</v>
      </c>
      <c r="P221" t="s">
        <v>322</v>
      </c>
      <c r="Q221" t="s">
        <v>23</v>
      </c>
    </row>
    <row r="222" spans="1:17" x14ac:dyDescent="0.35">
      <c r="A222" t="s">
        <v>162</v>
      </c>
      <c r="B222" t="s">
        <v>334</v>
      </c>
      <c r="C222" t="s">
        <v>19</v>
      </c>
      <c r="D222">
        <v>28</v>
      </c>
      <c r="E222" t="str">
        <f>IF(Table1_1[[#This Row],[Age]]&lt;=18,"CHILD",IF(Table1_1[[#This Row],[Age]]&lt;59,"ADULT","SENIOR"))</f>
        <v>ADULT</v>
      </c>
      <c r="F222" t="str">
        <f>IF(AND(Table1_1[[#This Row],[Age]]&gt;=60,Table1_1[[#This Row],[Insurance Status]]="INSURED"),"SENIOR ELIGIBLE","NOT ELIGIBLE")</f>
        <v>NOT ELIGIBLE</v>
      </c>
      <c r="G222" t="s">
        <v>16</v>
      </c>
      <c r="H222" t="s">
        <v>329</v>
      </c>
      <c r="I222" t="s">
        <v>326</v>
      </c>
      <c r="J222" s="1">
        <v>46091</v>
      </c>
      <c r="K222" s="1">
        <v>46100</v>
      </c>
      <c r="L222" t="s">
        <v>327</v>
      </c>
      <c r="M222" t="s">
        <v>328</v>
      </c>
      <c r="N222">
        <v>13715</v>
      </c>
      <c r="O222" t="str">
        <f>IF(OR(Table1_1[[#This Row],[Treatment Cost]]&gt;=20000,Table1_1[[#Headers],[Room Type]]="ICU"),"HIGH COST","NORMAL COST")</f>
        <v>NORMAL COST</v>
      </c>
      <c r="P222" t="s">
        <v>331</v>
      </c>
      <c r="Q222" t="s">
        <v>333</v>
      </c>
    </row>
    <row r="223" spans="1:17" x14ac:dyDescent="0.35">
      <c r="A223" t="s">
        <v>252</v>
      </c>
      <c r="B223" t="s">
        <v>341</v>
      </c>
      <c r="C223" t="s">
        <v>15</v>
      </c>
      <c r="D223">
        <v>46</v>
      </c>
      <c r="E223" t="str">
        <f>IF(Table1_1[[#This Row],[Age]]&lt;=18,"CHILD",IF(Table1_1[[#This Row],[Age]]&lt;59,"ADULT","SENIOR"))</f>
        <v>ADULT</v>
      </c>
      <c r="F223" t="str">
        <f>IF(AND(Table1_1[[#This Row],[Age]]&gt;=60,Table1_1[[#This Row],[Insurance Status]]="INSURED"),"SENIOR ELIGIBLE","NOT ELIGIBLE")</f>
        <v>NOT ELIGIBLE</v>
      </c>
      <c r="G223" t="s">
        <v>22</v>
      </c>
      <c r="H223" t="s">
        <v>329</v>
      </c>
      <c r="I223" t="s">
        <v>326</v>
      </c>
      <c r="J223" s="1">
        <v>46185</v>
      </c>
      <c r="K223" s="1">
        <v>46188</v>
      </c>
      <c r="L223" t="s">
        <v>327</v>
      </c>
      <c r="M223" t="s">
        <v>321</v>
      </c>
      <c r="N223">
        <v>13526</v>
      </c>
      <c r="O223" t="str">
        <f>IF(OR(Table1_1[[#This Row],[Treatment Cost]]&gt;=20000,Table1_1[[#Headers],[Room Type]]="ICU"),"HIGH COST","NORMAL COST")</f>
        <v>NORMAL COST</v>
      </c>
      <c r="P223" t="s">
        <v>322</v>
      </c>
      <c r="Q223" t="s">
        <v>23</v>
      </c>
    </row>
    <row r="224" spans="1:17" x14ac:dyDescent="0.35">
      <c r="A224" t="s">
        <v>308</v>
      </c>
      <c r="B224" t="s">
        <v>334</v>
      </c>
      <c r="C224" t="s">
        <v>15</v>
      </c>
      <c r="D224">
        <v>58</v>
      </c>
      <c r="E224" t="str">
        <f>IF(Table1_1[[#This Row],[Age]]&lt;=18,"CHILD",IF(Table1_1[[#This Row],[Age]]&lt;59,"ADULT","SENIOR"))</f>
        <v>ADULT</v>
      </c>
      <c r="F224" t="str">
        <f>IF(AND(Table1_1[[#This Row],[Age]]&gt;=60,Table1_1[[#This Row],[Insurance Status]]="INSURED"),"SENIOR ELIGIBLE","NOT ELIGIBLE")</f>
        <v>NOT ELIGIBLE</v>
      </c>
      <c r="G224" t="s">
        <v>20</v>
      </c>
      <c r="H224" t="s">
        <v>325</v>
      </c>
      <c r="I224" t="s">
        <v>336</v>
      </c>
      <c r="J224" s="1">
        <v>46176</v>
      </c>
      <c r="K224" s="1">
        <v>46180</v>
      </c>
      <c r="L224" t="s">
        <v>332</v>
      </c>
      <c r="M224" t="s">
        <v>328</v>
      </c>
      <c r="N224">
        <v>13040</v>
      </c>
      <c r="O224" t="str">
        <f>IF(OR(Table1_1[[#This Row],[Treatment Cost]]&gt;=20000,Table1_1[[#Headers],[Room Type]]="ICU"),"HIGH COST","NORMAL COST")</f>
        <v>NORMAL COST</v>
      </c>
      <c r="P224" t="s">
        <v>322</v>
      </c>
      <c r="Q224" t="s">
        <v>23</v>
      </c>
    </row>
    <row r="225" spans="1:17" x14ac:dyDescent="0.35">
      <c r="A225" t="s">
        <v>263</v>
      </c>
      <c r="B225" t="s">
        <v>341</v>
      </c>
      <c r="C225" t="s">
        <v>19</v>
      </c>
      <c r="D225">
        <v>67</v>
      </c>
      <c r="E225" t="str">
        <f>IF(Table1_1[[#This Row],[Age]]&lt;=18,"CHILD",IF(Table1_1[[#This Row],[Age]]&lt;59,"ADULT","SENIOR"))</f>
        <v>SENIOR</v>
      </c>
      <c r="F225" t="str">
        <f>IF(AND(Table1_1[[#This Row],[Age]]&gt;=60,Table1_1[[#This Row],[Insurance Status]]="INSURED"),"SENIOR ELIGIBLE","NOT ELIGIBLE")</f>
        <v>NOT ELIGIBLE</v>
      </c>
      <c r="G225" t="s">
        <v>26</v>
      </c>
      <c r="H225" t="s">
        <v>342</v>
      </c>
      <c r="I225" t="s">
        <v>326</v>
      </c>
      <c r="J225" s="1">
        <v>46094</v>
      </c>
      <c r="K225" s="1">
        <v>46102</v>
      </c>
      <c r="L225" t="s">
        <v>332</v>
      </c>
      <c r="M225" t="s">
        <v>321</v>
      </c>
      <c r="N225">
        <v>12967</v>
      </c>
      <c r="O225" t="str">
        <f>IF(OR(Table1_1[[#This Row],[Treatment Cost]]&gt;=20000,Table1_1[[#Headers],[Room Type]]="ICU"),"HIGH COST","NORMAL COST")</f>
        <v>NORMAL COST</v>
      </c>
      <c r="P225" t="s">
        <v>322</v>
      </c>
      <c r="Q225" t="s">
        <v>323</v>
      </c>
    </row>
    <row r="226" spans="1:17" x14ac:dyDescent="0.35">
      <c r="A226" t="s">
        <v>277</v>
      </c>
      <c r="B226" t="s">
        <v>341</v>
      </c>
      <c r="C226" t="s">
        <v>15</v>
      </c>
      <c r="D226">
        <v>25</v>
      </c>
      <c r="E226" t="str">
        <f>IF(Table1_1[[#This Row],[Age]]&lt;=18,"CHILD",IF(Table1_1[[#This Row],[Age]]&lt;59,"ADULT","SENIOR"))</f>
        <v>ADULT</v>
      </c>
      <c r="F226" t="str">
        <f>IF(AND(Table1_1[[#This Row],[Age]]&gt;=60,Table1_1[[#This Row],[Insurance Status]]="INSURED"),"SENIOR ELIGIBLE","NOT ELIGIBLE")</f>
        <v>NOT ELIGIBLE</v>
      </c>
      <c r="G226" t="s">
        <v>22</v>
      </c>
      <c r="H226" t="s">
        <v>342</v>
      </c>
      <c r="I226" t="s">
        <v>320</v>
      </c>
      <c r="J226" s="1">
        <v>46113</v>
      </c>
      <c r="K226" s="1">
        <v>46122</v>
      </c>
      <c r="L226" t="s">
        <v>17</v>
      </c>
      <c r="M226" t="s">
        <v>321</v>
      </c>
      <c r="N226">
        <v>12741</v>
      </c>
      <c r="O226" t="str">
        <f>IF(OR(Table1_1[[#This Row],[Treatment Cost]]&gt;=20000,Table1_1[[#Headers],[Room Type]]="ICU"),"HIGH COST","NORMAL COST")</f>
        <v>NORMAL COST</v>
      </c>
      <c r="P226" t="s">
        <v>322</v>
      </c>
      <c r="Q226" t="s">
        <v>333</v>
      </c>
    </row>
    <row r="227" spans="1:17" x14ac:dyDescent="0.35">
      <c r="A227" t="s">
        <v>269</v>
      </c>
      <c r="B227" t="s">
        <v>341</v>
      </c>
      <c r="C227" t="s">
        <v>19</v>
      </c>
      <c r="D227">
        <v>43</v>
      </c>
      <c r="E227" t="str">
        <f>IF(Table1_1[[#This Row],[Age]]&lt;=18,"CHILD",IF(Table1_1[[#This Row],[Age]]&lt;59,"ADULT","SENIOR"))</f>
        <v>ADULT</v>
      </c>
      <c r="F227" t="str">
        <f>IF(AND(Table1_1[[#This Row],[Age]]&gt;=60,Table1_1[[#This Row],[Insurance Status]]="INSURED"),"SENIOR ELIGIBLE","NOT ELIGIBLE")</f>
        <v>NOT ELIGIBLE</v>
      </c>
      <c r="G227" t="s">
        <v>16</v>
      </c>
      <c r="H227" t="s">
        <v>329</v>
      </c>
      <c r="I227" t="s">
        <v>338</v>
      </c>
      <c r="J227" s="1">
        <v>46158</v>
      </c>
      <c r="K227" s="1">
        <v>46162</v>
      </c>
      <c r="L227" t="s">
        <v>332</v>
      </c>
      <c r="M227" t="s">
        <v>328</v>
      </c>
      <c r="N227">
        <v>12644</v>
      </c>
      <c r="O227" t="str">
        <f>IF(OR(Table1_1[[#This Row],[Treatment Cost]]&gt;=20000,Table1_1[[#Headers],[Room Type]]="ICU"),"HIGH COST","NORMAL COST")</f>
        <v>NORMAL COST</v>
      </c>
      <c r="P227" t="s">
        <v>322</v>
      </c>
      <c r="Q227" t="s">
        <v>23</v>
      </c>
    </row>
    <row r="228" spans="1:17" x14ac:dyDescent="0.35">
      <c r="A228" t="s">
        <v>311</v>
      </c>
      <c r="B228" t="s">
        <v>341</v>
      </c>
      <c r="C228" t="s">
        <v>15</v>
      </c>
      <c r="D228">
        <v>52</v>
      </c>
      <c r="E228" t="str">
        <f>IF(Table1_1[[#This Row],[Age]]&lt;=18,"CHILD",IF(Table1_1[[#This Row],[Age]]&lt;59,"ADULT","SENIOR"))</f>
        <v>ADULT</v>
      </c>
      <c r="F228" t="str">
        <f>IF(AND(Table1_1[[#This Row],[Age]]&gt;=60,Table1_1[[#This Row],[Insurance Status]]="INSURED"),"SENIOR ELIGIBLE","NOT ELIGIBLE")</f>
        <v>NOT ELIGIBLE</v>
      </c>
      <c r="G228" t="s">
        <v>22</v>
      </c>
      <c r="H228" t="s">
        <v>319</v>
      </c>
      <c r="I228" t="s">
        <v>320</v>
      </c>
      <c r="J228" s="1">
        <v>46190</v>
      </c>
      <c r="K228" s="1">
        <v>46198</v>
      </c>
      <c r="L228" t="s">
        <v>17</v>
      </c>
      <c r="M228" t="s">
        <v>328</v>
      </c>
      <c r="N228">
        <v>12484</v>
      </c>
      <c r="O228" t="str">
        <f>IF(OR(Table1_1[[#This Row],[Treatment Cost]]&gt;=20000,Table1_1[[#Headers],[Room Type]]="ICU"),"HIGH COST","NORMAL COST")</f>
        <v>NORMAL COST</v>
      </c>
      <c r="P228" t="s">
        <v>331</v>
      </c>
      <c r="Q228" t="s">
        <v>23</v>
      </c>
    </row>
    <row r="229" spans="1:17" x14ac:dyDescent="0.35">
      <c r="A229" t="s">
        <v>203</v>
      </c>
      <c r="B229" t="s">
        <v>318</v>
      </c>
      <c r="C229" t="s">
        <v>15</v>
      </c>
      <c r="D229">
        <v>59</v>
      </c>
      <c r="E229" t="str">
        <f>IF(Table1_1[[#This Row],[Age]]&lt;=18,"CHILD",IF(Table1_1[[#This Row],[Age]]&lt;59,"ADULT","SENIOR"))</f>
        <v>SENIOR</v>
      </c>
      <c r="F229" t="str">
        <f>IF(AND(Table1_1[[#This Row],[Age]]&gt;=60,Table1_1[[#This Row],[Insurance Status]]="INSURED"),"SENIOR ELIGIBLE","NOT ELIGIBLE")</f>
        <v>NOT ELIGIBLE</v>
      </c>
      <c r="G229" t="s">
        <v>20</v>
      </c>
      <c r="H229" t="s">
        <v>329</v>
      </c>
      <c r="I229" t="s">
        <v>338</v>
      </c>
      <c r="J229" s="1">
        <v>46109</v>
      </c>
      <c r="K229" s="1">
        <v>46110</v>
      </c>
      <c r="L229" t="s">
        <v>327</v>
      </c>
      <c r="M229" t="s">
        <v>321</v>
      </c>
      <c r="N229">
        <v>12199</v>
      </c>
      <c r="O229" t="str">
        <f>IF(OR(Table1_1[[#This Row],[Treatment Cost]]&gt;=20000,Table1_1[[#Headers],[Room Type]]="ICU"),"HIGH COST","NORMAL COST")</f>
        <v>NORMAL COST</v>
      </c>
      <c r="P229" t="s">
        <v>331</v>
      </c>
      <c r="Q229" t="s">
        <v>323</v>
      </c>
    </row>
    <row r="230" spans="1:17" x14ac:dyDescent="0.35">
      <c r="A230" t="s">
        <v>101</v>
      </c>
      <c r="B230" t="s">
        <v>324</v>
      </c>
      <c r="C230" t="s">
        <v>19</v>
      </c>
      <c r="D230">
        <v>66</v>
      </c>
      <c r="E230" t="str">
        <f>IF(Table1_1[[#This Row],[Age]]&lt;=18,"CHILD",IF(Table1_1[[#This Row],[Age]]&lt;59,"ADULT","SENIOR"))</f>
        <v>SENIOR</v>
      </c>
      <c r="F230" t="str">
        <f>IF(AND(Table1_1[[#This Row],[Age]]&gt;=60,Table1_1[[#This Row],[Insurance Status]]="INSURED"),"SENIOR ELIGIBLE","NOT ELIGIBLE")</f>
        <v>NOT ELIGIBLE</v>
      </c>
      <c r="G230" t="s">
        <v>22</v>
      </c>
      <c r="H230" t="s">
        <v>319</v>
      </c>
      <c r="I230" t="s">
        <v>326</v>
      </c>
      <c r="J230" s="1">
        <v>46176</v>
      </c>
      <c r="K230" s="1">
        <v>46185</v>
      </c>
      <c r="L230" t="s">
        <v>327</v>
      </c>
      <c r="M230" t="s">
        <v>335</v>
      </c>
      <c r="N230">
        <v>11986</v>
      </c>
      <c r="O230" t="str">
        <f>IF(OR(Table1_1[[#This Row],[Treatment Cost]]&gt;=20000,Table1_1[[#Headers],[Room Type]]="ICU"),"HIGH COST","NORMAL COST")</f>
        <v>NORMAL COST</v>
      </c>
      <c r="P230" t="s">
        <v>322</v>
      </c>
      <c r="Q230" t="s">
        <v>23</v>
      </c>
    </row>
    <row r="231" spans="1:17" x14ac:dyDescent="0.35">
      <c r="A231" t="s">
        <v>65</v>
      </c>
      <c r="B231" t="s">
        <v>318</v>
      </c>
      <c r="C231" t="s">
        <v>15</v>
      </c>
      <c r="D231">
        <v>21</v>
      </c>
      <c r="E231" t="str">
        <f>IF(Table1_1[[#This Row],[Age]]&lt;=18,"CHILD",IF(Table1_1[[#This Row],[Age]]&lt;59,"ADULT","SENIOR"))</f>
        <v>ADULT</v>
      </c>
      <c r="F231" t="str">
        <f>IF(AND(Table1_1[[#This Row],[Age]]&gt;=60,Table1_1[[#This Row],[Insurance Status]]="INSURED"),"SENIOR ELIGIBLE","NOT ELIGIBLE")</f>
        <v>NOT ELIGIBLE</v>
      </c>
      <c r="G231" t="s">
        <v>22</v>
      </c>
      <c r="H231" t="s">
        <v>342</v>
      </c>
      <c r="I231" t="s">
        <v>338</v>
      </c>
      <c r="J231" s="1">
        <v>46094</v>
      </c>
      <c r="K231" s="1">
        <v>46104</v>
      </c>
      <c r="L231" t="s">
        <v>327</v>
      </c>
      <c r="M231" t="s">
        <v>335</v>
      </c>
      <c r="N231">
        <v>11924</v>
      </c>
      <c r="O231" t="str">
        <f>IF(OR(Table1_1[[#This Row],[Treatment Cost]]&gt;=20000,Table1_1[[#Headers],[Room Type]]="ICU"),"HIGH COST","NORMAL COST")</f>
        <v>NORMAL COST</v>
      </c>
      <c r="P231" t="s">
        <v>322</v>
      </c>
      <c r="Q231" t="s">
        <v>23</v>
      </c>
    </row>
    <row r="232" spans="1:17" x14ac:dyDescent="0.35">
      <c r="A232" t="s">
        <v>303</v>
      </c>
      <c r="B232" t="s">
        <v>334</v>
      </c>
      <c r="C232" t="s">
        <v>15</v>
      </c>
      <c r="D232">
        <v>53</v>
      </c>
      <c r="E232" t="str">
        <f>IF(Table1_1[[#This Row],[Age]]&lt;=18,"CHILD",IF(Table1_1[[#This Row],[Age]]&lt;59,"ADULT","SENIOR"))</f>
        <v>ADULT</v>
      </c>
      <c r="F232" t="str">
        <f>IF(AND(Table1_1[[#This Row],[Age]]&gt;=60,Table1_1[[#This Row],[Insurance Status]]="INSURED"),"SENIOR ELIGIBLE","NOT ELIGIBLE")</f>
        <v>NOT ELIGIBLE</v>
      </c>
      <c r="G232" t="s">
        <v>16</v>
      </c>
      <c r="H232" t="s">
        <v>329</v>
      </c>
      <c r="I232" t="s">
        <v>326</v>
      </c>
      <c r="J232" s="1">
        <v>46129</v>
      </c>
      <c r="K232" s="1">
        <v>46138</v>
      </c>
      <c r="L232" t="s">
        <v>339</v>
      </c>
      <c r="M232" t="s">
        <v>330</v>
      </c>
      <c r="N232">
        <v>11844</v>
      </c>
      <c r="O232" t="str">
        <f>IF(OR(Table1_1[[#This Row],[Treatment Cost]]&gt;=20000,Table1_1[[#Headers],[Room Type]]="ICU"),"HIGH COST","NORMAL COST")</f>
        <v>NORMAL COST</v>
      </c>
      <c r="P232" t="s">
        <v>331</v>
      </c>
      <c r="Q232" t="s">
        <v>333</v>
      </c>
    </row>
    <row r="233" spans="1:17" x14ac:dyDescent="0.35">
      <c r="A233" t="s">
        <v>180</v>
      </c>
      <c r="B233" t="s">
        <v>341</v>
      </c>
      <c r="C233" t="s">
        <v>19</v>
      </c>
      <c r="D233">
        <v>31</v>
      </c>
      <c r="E233" t="str">
        <f>IF(Table1_1[[#This Row],[Age]]&lt;=18,"CHILD",IF(Table1_1[[#This Row],[Age]]&lt;59,"ADULT","SENIOR"))</f>
        <v>ADULT</v>
      </c>
      <c r="F233" t="str">
        <f>IF(AND(Table1_1[[#This Row],[Age]]&gt;=60,Table1_1[[#This Row],[Insurance Status]]="INSURED"),"SENIOR ELIGIBLE","NOT ELIGIBLE")</f>
        <v>NOT ELIGIBLE</v>
      </c>
      <c r="G233" t="s">
        <v>22</v>
      </c>
      <c r="H233" t="s">
        <v>329</v>
      </c>
      <c r="I233" t="s">
        <v>326</v>
      </c>
      <c r="J233" s="1">
        <v>46041</v>
      </c>
      <c r="K233" s="1">
        <v>46042</v>
      </c>
      <c r="L233" t="s">
        <v>327</v>
      </c>
      <c r="M233" t="s">
        <v>335</v>
      </c>
      <c r="N233">
        <v>11521</v>
      </c>
      <c r="O233" t="str">
        <f>IF(OR(Table1_1[[#This Row],[Treatment Cost]]&gt;=20000,Table1_1[[#Headers],[Room Type]]="ICU"),"HIGH COST","NORMAL COST")</f>
        <v>NORMAL COST</v>
      </c>
      <c r="P233" t="s">
        <v>322</v>
      </c>
      <c r="Q233" t="s">
        <v>333</v>
      </c>
    </row>
    <row r="234" spans="1:17" x14ac:dyDescent="0.35">
      <c r="A234" t="s">
        <v>249</v>
      </c>
      <c r="B234" t="s">
        <v>318</v>
      </c>
      <c r="C234" t="s">
        <v>15</v>
      </c>
      <c r="D234">
        <v>44</v>
      </c>
      <c r="E234" t="str">
        <f>IF(Table1_1[[#This Row],[Age]]&lt;=18,"CHILD",IF(Table1_1[[#This Row],[Age]]&lt;59,"ADULT","SENIOR"))</f>
        <v>ADULT</v>
      </c>
      <c r="F234" t="str">
        <f>IF(AND(Table1_1[[#This Row],[Age]]&gt;=60,Table1_1[[#This Row],[Insurance Status]]="INSURED"),"SENIOR ELIGIBLE","NOT ELIGIBLE")</f>
        <v>NOT ELIGIBLE</v>
      </c>
      <c r="G234" t="s">
        <v>16</v>
      </c>
      <c r="H234" t="s">
        <v>325</v>
      </c>
      <c r="I234" t="s">
        <v>326</v>
      </c>
      <c r="J234" s="1">
        <v>46093</v>
      </c>
      <c r="K234" s="1">
        <v>46095</v>
      </c>
      <c r="L234" t="s">
        <v>17</v>
      </c>
      <c r="M234" t="s">
        <v>321</v>
      </c>
      <c r="N234">
        <v>11118</v>
      </c>
      <c r="O234" t="str">
        <f>IF(OR(Table1_1[[#This Row],[Treatment Cost]]&gt;=20000,Table1_1[[#Headers],[Room Type]]="ICU"),"HIGH COST","NORMAL COST")</f>
        <v>NORMAL COST</v>
      </c>
      <c r="P234" t="s">
        <v>331</v>
      </c>
      <c r="Q234" t="s">
        <v>323</v>
      </c>
    </row>
    <row r="235" spans="1:17" x14ac:dyDescent="0.35">
      <c r="A235" t="s">
        <v>184</v>
      </c>
      <c r="B235" t="s">
        <v>334</v>
      </c>
      <c r="C235" t="s">
        <v>19</v>
      </c>
      <c r="D235">
        <v>45</v>
      </c>
      <c r="E235" t="str">
        <f>IF(Table1_1[[#This Row],[Age]]&lt;=18,"CHILD",IF(Table1_1[[#This Row],[Age]]&lt;59,"ADULT","SENIOR"))</f>
        <v>ADULT</v>
      </c>
      <c r="F235" t="str">
        <f>IF(AND(Table1_1[[#This Row],[Age]]&gt;=60,Table1_1[[#This Row],[Insurance Status]]="INSURED"),"SENIOR ELIGIBLE","NOT ELIGIBLE")</f>
        <v>NOT ELIGIBLE</v>
      </c>
      <c r="G235" t="s">
        <v>16</v>
      </c>
      <c r="H235" t="s">
        <v>319</v>
      </c>
      <c r="I235" t="s">
        <v>338</v>
      </c>
      <c r="J235" s="1">
        <v>46044</v>
      </c>
      <c r="K235" s="1">
        <v>46054</v>
      </c>
      <c r="L235" t="s">
        <v>327</v>
      </c>
      <c r="M235" t="s">
        <v>321</v>
      </c>
      <c r="N235">
        <v>11028</v>
      </c>
      <c r="O235" t="str">
        <f>IF(OR(Table1_1[[#This Row],[Treatment Cost]]&gt;=20000,Table1_1[[#Headers],[Room Type]]="ICU"),"HIGH COST","NORMAL COST")</f>
        <v>NORMAL COST</v>
      </c>
      <c r="P235" t="s">
        <v>322</v>
      </c>
      <c r="Q235" t="s">
        <v>23</v>
      </c>
    </row>
    <row r="236" spans="1:17" x14ac:dyDescent="0.35">
      <c r="A236" t="s">
        <v>144</v>
      </c>
      <c r="B236" t="s">
        <v>341</v>
      </c>
      <c r="C236" t="s">
        <v>15</v>
      </c>
      <c r="D236">
        <v>55</v>
      </c>
      <c r="E236" t="str">
        <f>IF(Table1_1[[#This Row],[Age]]&lt;=18,"CHILD",IF(Table1_1[[#This Row],[Age]]&lt;59,"ADULT","SENIOR"))</f>
        <v>ADULT</v>
      </c>
      <c r="F236" t="str">
        <f>IF(AND(Table1_1[[#This Row],[Age]]&gt;=60,Table1_1[[#This Row],[Insurance Status]]="INSURED"),"SENIOR ELIGIBLE","NOT ELIGIBLE")</f>
        <v>NOT ELIGIBLE</v>
      </c>
      <c r="G236" t="s">
        <v>16</v>
      </c>
      <c r="H236" t="s">
        <v>319</v>
      </c>
      <c r="I236" t="s">
        <v>338</v>
      </c>
      <c r="J236" s="1">
        <v>46195</v>
      </c>
      <c r="K236" s="1">
        <v>46204</v>
      </c>
      <c r="L236" t="s">
        <v>332</v>
      </c>
      <c r="M236" t="s">
        <v>335</v>
      </c>
      <c r="N236">
        <v>10999</v>
      </c>
      <c r="O236" t="str">
        <f>IF(OR(Table1_1[[#This Row],[Treatment Cost]]&gt;=20000,Table1_1[[#Headers],[Room Type]]="ICU"),"HIGH COST","NORMAL COST")</f>
        <v>NORMAL COST</v>
      </c>
      <c r="P236" t="s">
        <v>322</v>
      </c>
      <c r="Q236" t="s">
        <v>333</v>
      </c>
    </row>
    <row r="237" spans="1:17" x14ac:dyDescent="0.35">
      <c r="A237" t="s">
        <v>63</v>
      </c>
      <c r="B237" t="s">
        <v>337</v>
      </c>
      <c r="C237" t="s">
        <v>15</v>
      </c>
      <c r="D237">
        <v>33</v>
      </c>
      <c r="E237" t="str">
        <f>IF(Table1_1[[#This Row],[Age]]&lt;=18,"CHILD",IF(Table1_1[[#This Row],[Age]]&lt;59,"ADULT","SENIOR"))</f>
        <v>ADULT</v>
      </c>
      <c r="F237" t="str">
        <f>IF(AND(Table1_1[[#This Row],[Age]]&gt;=60,Table1_1[[#This Row],[Insurance Status]]="INSURED"),"SENIOR ELIGIBLE","NOT ELIGIBLE")</f>
        <v>NOT ELIGIBLE</v>
      </c>
      <c r="G237" t="s">
        <v>20</v>
      </c>
      <c r="H237" t="s">
        <v>325</v>
      </c>
      <c r="I237" t="s">
        <v>326</v>
      </c>
      <c r="J237" s="1">
        <v>46164</v>
      </c>
      <c r="K237" s="1">
        <v>46166</v>
      </c>
      <c r="L237" t="s">
        <v>332</v>
      </c>
      <c r="M237" t="s">
        <v>321</v>
      </c>
      <c r="N237">
        <v>10717</v>
      </c>
      <c r="O237" t="str">
        <f>IF(OR(Table1_1[[#This Row],[Treatment Cost]]&gt;=20000,Table1_1[[#Headers],[Room Type]]="ICU"),"HIGH COST","NORMAL COST")</f>
        <v>NORMAL COST</v>
      </c>
      <c r="P237" t="s">
        <v>331</v>
      </c>
      <c r="Q237" t="s">
        <v>323</v>
      </c>
    </row>
    <row r="238" spans="1:17" x14ac:dyDescent="0.35">
      <c r="A238" t="s">
        <v>121</v>
      </c>
      <c r="B238" t="s">
        <v>340</v>
      </c>
      <c r="C238" t="s">
        <v>19</v>
      </c>
      <c r="D238">
        <v>36</v>
      </c>
      <c r="E238" t="str">
        <f>IF(Table1_1[[#This Row],[Age]]&lt;=18,"CHILD",IF(Table1_1[[#This Row],[Age]]&lt;59,"ADULT","SENIOR"))</f>
        <v>ADULT</v>
      </c>
      <c r="F238" t="str">
        <f>IF(AND(Table1_1[[#This Row],[Age]]&gt;=60,Table1_1[[#This Row],[Insurance Status]]="INSURED"),"SENIOR ELIGIBLE","NOT ELIGIBLE")</f>
        <v>NOT ELIGIBLE</v>
      </c>
      <c r="G238" t="s">
        <v>16</v>
      </c>
      <c r="H238" t="s">
        <v>319</v>
      </c>
      <c r="I238" t="s">
        <v>326</v>
      </c>
      <c r="J238" s="1">
        <v>46173</v>
      </c>
      <c r="K238" s="1">
        <v>46177</v>
      </c>
      <c r="L238" t="s">
        <v>327</v>
      </c>
      <c r="M238" t="s">
        <v>330</v>
      </c>
      <c r="N238">
        <v>10614</v>
      </c>
      <c r="O238" t="str">
        <f>IF(OR(Table1_1[[#This Row],[Treatment Cost]]&gt;=20000,Table1_1[[#Headers],[Room Type]]="ICU"),"HIGH COST","NORMAL COST")</f>
        <v>NORMAL COST</v>
      </c>
      <c r="P238" t="s">
        <v>322</v>
      </c>
      <c r="Q238" t="s">
        <v>323</v>
      </c>
    </row>
    <row r="239" spans="1:17" x14ac:dyDescent="0.35">
      <c r="A239" t="s">
        <v>79</v>
      </c>
      <c r="B239" t="s">
        <v>318</v>
      </c>
      <c r="C239" t="s">
        <v>15</v>
      </c>
      <c r="D239">
        <v>25</v>
      </c>
      <c r="E239" t="str">
        <f>IF(Table1_1[[#This Row],[Age]]&lt;=18,"CHILD",IF(Table1_1[[#This Row],[Age]]&lt;59,"ADULT","SENIOR"))</f>
        <v>ADULT</v>
      </c>
      <c r="F239" t="str">
        <f>IF(AND(Table1_1[[#This Row],[Age]]&gt;=60,Table1_1[[#This Row],[Insurance Status]]="INSURED"),"SENIOR ELIGIBLE","NOT ELIGIBLE")</f>
        <v>NOT ELIGIBLE</v>
      </c>
      <c r="G239" t="s">
        <v>26</v>
      </c>
      <c r="H239" t="s">
        <v>319</v>
      </c>
      <c r="I239" t="s">
        <v>338</v>
      </c>
      <c r="J239" s="1">
        <v>46101</v>
      </c>
      <c r="K239" s="1">
        <v>46104</v>
      </c>
      <c r="L239" t="s">
        <v>332</v>
      </c>
      <c r="M239" t="s">
        <v>335</v>
      </c>
      <c r="N239">
        <v>10584</v>
      </c>
      <c r="O239" t="str">
        <f>IF(OR(Table1_1[[#This Row],[Treatment Cost]]&gt;=20000,Table1_1[[#Headers],[Room Type]]="ICU"),"HIGH COST","NORMAL COST")</f>
        <v>NORMAL COST</v>
      </c>
      <c r="P239" t="s">
        <v>331</v>
      </c>
      <c r="Q239" t="s">
        <v>23</v>
      </c>
    </row>
    <row r="240" spans="1:17" x14ac:dyDescent="0.35">
      <c r="A240" t="s">
        <v>182</v>
      </c>
      <c r="B240" t="s">
        <v>324</v>
      </c>
      <c r="C240" t="s">
        <v>15</v>
      </c>
      <c r="D240">
        <v>33</v>
      </c>
      <c r="E240" t="str">
        <f>IF(Table1_1[[#This Row],[Age]]&lt;=18,"CHILD",IF(Table1_1[[#This Row],[Age]]&lt;59,"ADULT","SENIOR"))</f>
        <v>ADULT</v>
      </c>
      <c r="F240" t="str">
        <f>IF(AND(Table1_1[[#This Row],[Age]]&gt;=60,Table1_1[[#This Row],[Insurance Status]]="INSURED"),"SENIOR ELIGIBLE","NOT ELIGIBLE")</f>
        <v>NOT ELIGIBLE</v>
      </c>
      <c r="G240" t="s">
        <v>16</v>
      </c>
      <c r="H240" t="s">
        <v>325</v>
      </c>
      <c r="I240" t="s">
        <v>338</v>
      </c>
      <c r="J240" s="1">
        <v>46089</v>
      </c>
      <c r="K240" s="1">
        <v>46091</v>
      </c>
      <c r="L240" t="s">
        <v>339</v>
      </c>
      <c r="M240" t="s">
        <v>330</v>
      </c>
      <c r="N240">
        <v>9983</v>
      </c>
      <c r="O240" t="str">
        <f>IF(OR(Table1_1[[#This Row],[Treatment Cost]]&gt;=20000,Table1_1[[#Headers],[Room Type]]="ICU"),"HIGH COST","NORMAL COST")</f>
        <v>NORMAL COST</v>
      </c>
      <c r="P240" t="s">
        <v>331</v>
      </c>
      <c r="Q240" t="s">
        <v>333</v>
      </c>
    </row>
    <row r="241" spans="1:17" x14ac:dyDescent="0.35">
      <c r="A241" t="s">
        <v>237</v>
      </c>
      <c r="B241" t="s">
        <v>334</v>
      </c>
      <c r="C241" t="s">
        <v>15</v>
      </c>
      <c r="D241">
        <v>39</v>
      </c>
      <c r="E241" t="str">
        <f>IF(Table1_1[[#This Row],[Age]]&lt;=18,"CHILD",IF(Table1_1[[#This Row],[Age]]&lt;59,"ADULT","SENIOR"))</f>
        <v>ADULT</v>
      </c>
      <c r="F241" t="str">
        <f>IF(AND(Table1_1[[#This Row],[Age]]&gt;=60,Table1_1[[#This Row],[Insurance Status]]="INSURED"),"SENIOR ELIGIBLE","NOT ELIGIBLE")</f>
        <v>NOT ELIGIBLE</v>
      </c>
      <c r="G241" t="s">
        <v>26</v>
      </c>
      <c r="H241" t="s">
        <v>329</v>
      </c>
      <c r="I241" t="s">
        <v>336</v>
      </c>
      <c r="J241" s="1">
        <v>46044</v>
      </c>
      <c r="K241" s="1">
        <v>46051</v>
      </c>
      <c r="L241" t="s">
        <v>339</v>
      </c>
      <c r="M241" t="s">
        <v>328</v>
      </c>
      <c r="N241">
        <v>9842</v>
      </c>
      <c r="O241" t="str">
        <f>IF(OR(Table1_1[[#This Row],[Treatment Cost]]&gt;=20000,Table1_1[[#Headers],[Room Type]]="ICU"),"HIGH COST","NORMAL COST")</f>
        <v>NORMAL COST</v>
      </c>
      <c r="P241" t="s">
        <v>331</v>
      </c>
      <c r="Q241" t="s">
        <v>323</v>
      </c>
    </row>
    <row r="242" spans="1:17" x14ac:dyDescent="0.35">
      <c r="A242" t="s">
        <v>188</v>
      </c>
      <c r="B242" t="s">
        <v>334</v>
      </c>
      <c r="C242" t="s">
        <v>15</v>
      </c>
      <c r="D242">
        <v>23</v>
      </c>
      <c r="E242" t="str">
        <f>IF(Table1_1[[#This Row],[Age]]&lt;=18,"CHILD",IF(Table1_1[[#This Row],[Age]]&lt;59,"ADULT","SENIOR"))</f>
        <v>ADULT</v>
      </c>
      <c r="F242" t="str">
        <f>IF(AND(Table1_1[[#This Row],[Age]]&gt;=60,Table1_1[[#This Row],[Insurance Status]]="INSURED"),"SENIOR ELIGIBLE","NOT ELIGIBLE")</f>
        <v>NOT ELIGIBLE</v>
      </c>
      <c r="G242" t="s">
        <v>26</v>
      </c>
      <c r="H242" t="s">
        <v>329</v>
      </c>
      <c r="I242" t="s">
        <v>336</v>
      </c>
      <c r="J242" s="1">
        <v>46150</v>
      </c>
      <c r="K242" s="1">
        <v>46157</v>
      </c>
      <c r="L242" t="s">
        <v>17</v>
      </c>
      <c r="M242" t="s">
        <v>335</v>
      </c>
      <c r="N242">
        <v>9834</v>
      </c>
      <c r="O242" t="str">
        <f>IF(OR(Table1_1[[#This Row],[Treatment Cost]]&gt;=20000,Table1_1[[#Headers],[Room Type]]="ICU"),"HIGH COST","NORMAL COST")</f>
        <v>NORMAL COST</v>
      </c>
      <c r="P242" t="s">
        <v>331</v>
      </c>
      <c r="Q242" t="s">
        <v>323</v>
      </c>
    </row>
    <row r="243" spans="1:17" x14ac:dyDescent="0.35">
      <c r="A243" t="s">
        <v>147</v>
      </c>
      <c r="B243" t="s">
        <v>318</v>
      </c>
      <c r="C243" t="s">
        <v>19</v>
      </c>
      <c r="D243">
        <v>82</v>
      </c>
      <c r="E243" t="str">
        <f>IF(Table1_1[[#This Row],[Age]]&lt;=18,"CHILD",IF(Table1_1[[#This Row],[Age]]&lt;59,"ADULT","SENIOR"))</f>
        <v>SENIOR</v>
      </c>
      <c r="F243" t="str">
        <f>IF(AND(Table1_1[[#This Row],[Age]]&gt;=60,Table1_1[[#This Row],[Insurance Status]]="INSURED"),"SENIOR ELIGIBLE","NOT ELIGIBLE")</f>
        <v>SENIOR ELIGIBLE</v>
      </c>
      <c r="G243" t="s">
        <v>16</v>
      </c>
      <c r="H243" t="s">
        <v>319</v>
      </c>
      <c r="I243" t="s">
        <v>336</v>
      </c>
      <c r="J243" s="1">
        <v>46077</v>
      </c>
      <c r="K243" s="1">
        <v>46084</v>
      </c>
      <c r="L243" t="s">
        <v>17</v>
      </c>
      <c r="M243" t="s">
        <v>335</v>
      </c>
      <c r="N243">
        <v>9276</v>
      </c>
      <c r="O243" t="str">
        <f>IF(OR(Table1_1[[#This Row],[Treatment Cost]]&gt;=20000,Table1_1[[#Headers],[Room Type]]="ICU"),"HIGH COST","NORMAL COST")</f>
        <v>NORMAL COST</v>
      </c>
      <c r="P243" t="s">
        <v>331</v>
      </c>
      <c r="Q243" t="s">
        <v>23</v>
      </c>
    </row>
    <row r="244" spans="1:17" x14ac:dyDescent="0.35">
      <c r="A244" t="s">
        <v>146</v>
      </c>
      <c r="B244" t="s">
        <v>340</v>
      </c>
      <c r="C244" t="s">
        <v>19</v>
      </c>
      <c r="D244">
        <v>48</v>
      </c>
      <c r="E244" t="str">
        <f>IF(Table1_1[[#This Row],[Age]]&lt;=18,"CHILD",IF(Table1_1[[#This Row],[Age]]&lt;59,"ADULT","SENIOR"))</f>
        <v>ADULT</v>
      </c>
      <c r="F244" t="str">
        <f>IF(AND(Table1_1[[#This Row],[Age]]&gt;=60,Table1_1[[#This Row],[Insurance Status]]="INSURED"),"SENIOR ELIGIBLE","NOT ELIGIBLE")</f>
        <v>NOT ELIGIBLE</v>
      </c>
      <c r="G244" t="s">
        <v>20</v>
      </c>
      <c r="H244" t="s">
        <v>325</v>
      </c>
      <c r="I244" t="s">
        <v>320</v>
      </c>
      <c r="J244" s="1">
        <v>46084</v>
      </c>
      <c r="K244" s="1">
        <v>46086</v>
      </c>
      <c r="L244" t="s">
        <v>332</v>
      </c>
      <c r="M244" t="s">
        <v>321</v>
      </c>
      <c r="N244">
        <v>9270</v>
      </c>
      <c r="O244" t="str">
        <f>IF(OR(Table1_1[[#This Row],[Treatment Cost]]&gt;=20000,Table1_1[[#Headers],[Room Type]]="ICU"),"HIGH COST","NORMAL COST")</f>
        <v>NORMAL COST</v>
      </c>
      <c r="P244" t="s">
        <v>322</v>
      </c>
      <c r="Q244" t="s">
        <v>323</v>
      </c>
    </row>
    <row r="245" spans="1:17" x14ac:dyDescent="0.35">
      <c r="A245" t="s">
        <v>66</v>
      </c>
      <c r="B245" t="s">
        <v>324</v>
      </c>
      <c r="C245" t="s">
        <v>19</v>
      </c>
      <c r="D245">
        <v>45</v>
      </c>
      <c r="E245" t="str">
        <f>IF(Table1_1[[#This Row],[Age]]&lt;=18,"CHILD",IF(Table1_1[[#This Row],[Age]]&lt;59,"ADULT","SENIOR"))</f>
        <v>ADULT</v>
      </c>
      <c r="F245" t="str">
        <f>IF(AND(Table1_1[[#This Row],[Age]]&gt;=60,Table1_1[[#This Row],[Insurance Status]]="INSURED"),"SENIOR ELIGIBLE","NOT ELIGIBLE")</f>
        <v>NOT ELIGIBLE</v>
      </c>
      <c r="G245" t="s">
        <v>22</v>
      </c>
      <c r="H245" t="s">
        <v>329</v>
      </c>
      <c r="I245" t="s">
        <v>336</v>
      </c>
      <c r="J245" s="1">
        <v>46053</v>
      </c>
      <c r="K245" s="1">
        <v>46063</v>
      </c>
      <c r="L245" t="s">
        <v>332</v>
      </c>
      <c r="M245" t="s">
        <v>335</v>
      </c>
      <c r="N245">
        <v>9246</v>
      </c>
      <c r="O245" t="str">
        <f>IF(OR(Table1_1[[#This Row],[Treatment Cost]]&gt;=20000,Table1_1[[#Headers],[Room Type]]="ICU"),"HIGH COST","NORMAL COST")</f>
        <v>NORMAL COST</v>
      </c>
      <c r="P245" t="s">
        <v>322</v>
      </c>
      <c r="Q245" t="s">
        <v>333</v>
      </c>
    </row>
    <row r="246" spans="1:17" x14ac:dyDescent="0.35">
      <c r="A246" t="s">
        <v>53</v>
      </c>
      <c r="B246" t="s">
        <v>340</v>
      </c>
      <c r="C246" t="s">
        <v>19</v>
      </c>
      <c r="D246">
        <v>27</v>
      </c>
      <c r="E246" t="str">
        <f>IF(Table1_1[[#This Row],[Age]]&lt;=18,"CHILD",IF(Table1_1[[#This Row],[Age]]&lt;59,"ADULT","SENIOR"))</f>
        <v>ADULT</v>
      </c>
      <c r="F246" t="str">
        <f>IF(AND(Table1_1[[#This Row],[Age]]&gt;=60,Table1_1[[#This Row],[Insurance Status]]="INSURED"),"SENIOR ELIGIBLE","NOT ELIGIBLE")</f>
        <v>NOT ELIGIBLE</v>
      </c>
      <c r="G246" t="s">
        <v>20</v>
      </c>
      <c r="H246" t="s">
        <v>329</v>
      </c>
      <c r="I246" t="s">
        <v>336</v>
      </c>
      <c r="J246" s="1">
        <v>46039</v>
      </c>
      <c r="K246" s="1">
        <v>46041</v>
      </c>
      <c r="L246" t="s">
        <v>339</v>
      </c>
      <c r="M246" t="s">
        <v>335</v>
      </c>
      <c r="N246">
        <v>8519</v>
      </c>
      <c r="O246" t="str">
        <f>IF(OR(Table1_1[[#This Row],[Treatment Cost]]&gt;=20000,Table1_1[[#Headers],[Room Type]]="ICU"),"HIGH COST","NORMAL COST")</f>
        <v>NORMAL COST</v>
      </c>
      <c r="P246" t="s">
        <v>331</v>
      </c>
      <c r="Q246" t="s">
        <v>323</v>
      </c>
    </row>
    <row r="247" spans="1:17" x14ac:dyDescent="0.35">
      <c r="A247" t="s">
        <v>71</v>
      </c>
      <c r="B247" t="s">
        <v>341</v>
      </c>
      <c r="C247" t="s">
        <v>15</v>
      </c>
      <c r="D247">
        <v>36</v>
      </c>
      <c r="E247" t="str">
        <f>IF(Table1_1[[#This Row],[Age]]&lt;=18,"CHILD",IF(Table1_1[[#This Row],[Age]]&lt;59,"ADULT","SENIOR"))</f>
        <v>ADULT</v>
      </c>
      <c r="F247" t="str">
        <f>IF(AND(Table1_1[[#This Row],[Age]]&gt;=60,Table1_1[[#This Row],[Insurance Status]]="INSURED"),"SENIOR ELIGIBLE","NOT ELIGIBLE")</f>
        <v>NOT ELIGIBLE</v>
      </c>
      <c r="G247" t="s">
        <v>26</v>
      </c>
      <c r="H247" t="s">
        <v>325</v>
      </c>
      <c r="I247" t="s">
        <v>326</v>
      </c>
      <c r="J247" s="1">
        <v>46069</v>
      </c>
      <c r="K247" s="1">
        <v>46073</v>
      </c>
      <c r="L247" t="s">
        <v>17</v>
      </c>
      <c r="M247" t="s">
        <v>328</v>
      </c>
      <c r="N247">
        <v>8413</v>
      </c>
      <c r="O247" t="str">
        <f>IF(OR(Table1_1[[#This Row],[Treatment Cost]]&gt;=20000,Table1_1[[#Headers],[Room Type]]="ICU"),"HIGH COST","NORMAL COST")</f>
        <v>NORMAL COST</v>
      </c>
      <c r="P247" t="s">
        <v>331</v>
      </c>
      <c r="Q247" t="s">
        <v>323</v>
      </c>
    </row>
    <row r="248" spans="1:17" x14ac:dyDescent="0.35">
      <c r="A248" t="s">
        <v>67</v>
      </c>
      <c r="B248" t="s">
        <v>341</v>
      </c>
      <c r="C248" t="s">
        <v>19</v>
      </c>
      <c r="D248">
        <v>80</v>
      </c>
      <c r="E248" t="str">
        <f>IF(Table1_1[[#This Row],[Age]]&lt;=18,"CHILD",IF(Table1_1[[#This Row],[Age]]&lt;59,"ADULT","SENIOR"))</f>
        <v>SENIOR</v>
      </c>
      <c r="F248" t="str">
        <f>IF(AND(Table1_1[[#This Row],[Age]]&gt;=60,Table1_1[[#This Row],[Insurance Status]]="INSURED"),"SENIOR ELIGIBLE","NOT ELIGIBLE")</f>
        <v>SENIOR ELIGIBLE</v>
      </c>
      <c r="G248" t="s">
        <v>22</v>
      </c>
      <c r="H248" t="s">
        <v>329</v>
      </c>
      <c r="I248" t="s">
        <v>326</v>
      </c>
      <c r="J248" s="1">
        <v>46063</v>
      </c>
      <c r="K248" s="1">
        <v>46067</v>
      </c>
      <c r="L248" t="s">
        <v>339</v>
      </c>
      <c r="M248" t="s">
        <v>321</v>
      </c>
      <c r="N248">
        <v>8227</v>
      </c>
      <c r="O248" t="str">
        <f>IF(OR(Table1_1[[#This Row],[Treatment Cost]]&gt;=20000,Table1_1[[#Headers],[Room Type]]="ICU"),"HIGH COST","NORMAL COST")</f>
        <v>NORMAL COST</v>
      </c>
      <c r="P248" t="s">
        <v>331</v>
      </c>
      <c r="Q248" t="s">
        <v>323</v>
      </c>
    </row>
    <row r="249" spans="1:17" x14ac:dyDescent="0.35">
      <c r="A249" t="s">
        <v>194</v>
      </c>
      <c r="B249" t="s">
        <v>340</v>
      </c>
      <c r="C249" t="s">
        <v>19</v>
      </c>
      <c r="D249">
        <v>77</v>
      </c>
      <c r="E249" t="str">
        <f>IF(Table1_1[[#This Row],[Age]]&lt;=18,"CHILD",IF(Table1_1[[#This Row],[Age]]&lt;59,"ADULT","SENIOR"))</f>
        <v>SENIOR</v>
      </c>
      <c r="F249" t="str">
        <f>IF(AND(Table1_1[[#This Row],[Age]]&gt;=60,Table1_1[[#This Row],[Insurance Status]]="INSURED"),"SENIOR ELIGIBLE","NOT ELIGIBLE")</f>
        <v>SENIOR ELIGIBLE</v>
      </c>
      <c r="G249" t="s">
        <v>16</v>
      </c>
      <c r="H249" t="s">
        <v>329</v>
      </c>
      <c r="I249" t="s">
        <v>326</v>
      </c>
      <c r="J249" s="1">
        <v>46186</v>
      </c>
      <c r="K249" s="1">
        <v>46191</v>
      </c>
      <c r="L249" t="s">
        <v>17</v>
      </c>
      <c r="M249" t="s">
        <v>321</v>
      </c>
      <c r="N249">
        <v>8150</v>
      </c>
      <c r="O249" t="str">
        <f>IF(OR(Table1_1[[#This Row],[Treatment Cost]]&gt;=20000,Table1_1[[#Headers],[Room Type]]="ICU"),"HIGH COST","NORMAL COST")</f>
        <v>NORMAL COST</v>
      </c>
      <c r="P249" t="s">
        <v>331</v>
      </c>
      <c r="Q249" t="s">
        <v>23</v>
      </c>
    </row>
    <row r="250" spans="1:17" x14ac:dyDescent="0.35">
      <c r="A250" t="s">
        <v>217</v>
      </c>
      <c r="B250" t="s">
        <v>334</v>
      </c>
      <c r="C250" t="s">
        <v>19</v>
      </c>
      <c r="D250">
        <v>69</v>
      </c>
      <c r="E250" t="str">
        <f>IF(Table1_1[[#This Row],[Age]]&lt;=18,"CHILD",IF(Table1_1[[#This Row],[Age]]&lt;59,"ADULT","SENIOR"))</f>
        <v>SENIOR</v>
      </c>
      <c r="F250" t="str">
        <f>IF(AND(Table1_1[[#This Row],[Age]]&gt;=60,Table1_1[[#This Row],[Insurance Status]]="INSURED"),"SENIOR ELIGIBLE","NOT ELIGIBLE")</f>
        <v>NOT ELIGIBLE</v>
      </c>
      <c r="G250" t="s">
        <v>16</v>
      </c>
      <c r="H250" t="s">
        <v>329</v>
      </c>
      <c r="I250" t="s">
        <v>336</v>
      </c>
      <c r="J250" s="1">
        <v>46181</v>
      </c>
      <c r="K250" s="1">
        <v>46188</v>
      </c>
      <c r="L250" t="s">
        <v>339</v>
      </c>
      <c r="M250" t="s">
        <v>330</v>
      </c>
      <c r="N250">
        <v>8061</v>
      </c>
      <c r="O250" t="str">
        <f>IF(OR(Table1_1[[#This Row],[Treatment Cost]]&gt;=20000,Table1_1[[#Headers],[Room Type]]="ICU"),"HIGH COST","NORMAL COST")</f>
        <v>NORMAL COST</v>
      </c>
      <c r="P250" t="s">
        <v>322</v>
      </c>
      <c r="Q250" t="s">
        <v>323</v>
      </c>
    </row>
    <row r="251" spans="1:17" x14ac:dyDescent="0.35">
      <c r="A251" t="s">
        <v>133</v>
      </c>
      <c r="B251" t="s">
        <v>324</v>
      </c>
      <c r="C251" t="s">
        <v>15</v>
      </c>
      <c r="D251">
        <v>67</v>
      </c>
      <c r="E251" t="str">
        <f>IF(Table1_1[[#This Row],[Age]]&lt;=18,"CHILD",IF(Table1_1[[#This Row],[Age]]&lt;59,"ADULT","SENIOR"))</f>
        <v>SENIOR</v>
      </c>
      <c r="F251" t="str">
        <f>IF(AND(Table1_1[[#This Row],[Age]]&gt;=60,Table1_1[[#This Row],[Insurance Status]]="INSURED"),"SENIOR ELIGIBLE","NOT ELIGIBLE")</f>
        <v>NOT ELIGIBLE</v>
      </c>
      <c r="G251" t="s">
        <v>22</v>
      </c>
      <c r="H251" t="s">
        <v>319</v>
      </c>
      <c r="I251" t="s">
        <v>326</v>
      </c>
      <c r="J251" s="1">
        <v>46027</v>
      </c>
      <c r="K251" s="1">
        <v>46037</v>
      </c>
      <c r="L251" t="s">
        <v>327</v>
      </c>
      <c r="M251" t="s">
        <v>328</v>
      </c>
      <c r="N251">
        <v>7745</v>
      </c>
      <c r="O251" t="str">
        <f>IF(OR(Table1_1[[#This Row],[Treatment Cost]]&gt;=20000,Table1_1[[#Headers],[Room Type]]="ICU"),"HIGH COST","NORMAL COST")</f>
        <v>NORMAL COST</v>
      </c>
      <c r="P251" t="s">
        <v>322</v>
      </c>
      <c r="Q251" t="s">
        <v>333</v>
      </c>
    </row>
    <row r="252" spans="1:17" x14ac:dyDescent="0.35">
      <c r="A252" t="s">
        <v>112</v>
      </c>
      <c r="B252" t="s">
        <v>337</v>
      </c>
      <c r="C252" t="s">
        <v>15</v>
      </c>
      <c r="D252">
        <v>42</v>
      </c>
      <c r="E252" t="str">
        <f>IF(Table1_1[[#This Row],[Age]]&lt;=18,"CHILD",IF(Table1_1[[#This Row],[Age]]&lt;59,"ADULT","SENIOR"))</f>
        <v>ADULT</v>
      </c>
      <c r="F252" t="str">
        <f>IF(AND(Table1_1[[#This Row],[Age]]&gt;=60,Table1_1[[#This Row],[Insurance Status]]="INSURED"),"SENIOR ELIGIBLE","NOT ELIGIBLE")</f>
        <v>NOT ELIGIBLE</v>
      </c>
      <c r="G252" t="s">
        <v>26</v>
      </c>
      <c r="H252" t="s">
        <v>319</v>
      </c>
      <c r="I252" t="s">
        <v>336</v>
      </c>
      <c r="J252" s="1">
        <v>46131</v>
      </c>
      <c r="K252" s="1">
        <v>46138</v>
      </c>
      <c r="L252" t="s">
        <v>17</v>
      </c>
      <c r="M252" t="s">
        <v>335</v>
      </c>
      <c r="N252">
        <v>7730</v>
      </c>
      <c r="O252" t="str">
        <f>IF(OR(Table1_1[[#This Row],[Treatment Cost]]&gt;=20000,Table1_1[[#Headers],[Room Type]]="ICU"),"HIGH COST","NORMAL COST")</f>
        <v>NORMAL COST</v>
      </c>
      <c r="P252" t="s">
        <v>331</v>
      </c>
      <c r="Q252" t="s">
        <v>323</v>
      </c>
    </row>
    <row r="253" spans="1:17" x14ac:dyDescent="0.35">
      <c r="A253" t="s">
        <v>150</v>
      </c>
      <c r="B253" t="s">
        <v>324</v>
      </c>
      <c r="C253" t="s">
        <v>19</v>
      </c>
      <c r="D253">
        <v>23</v>
      </c>
      <c r="E253" t="str">
        <f>IF(Table1_1[[#This Row],[Age]]&lt;=18,"CHILD",IF(Table1_1[[#This Row],[Age]]&lt;59,"ADULT","SENIOR"))</f>
        <v>ADULT</v>
      </c>
      <c r="F253" t="str">
        <f>IF(AND(Table1_1[[#This Row],[Age]]&gt;=60,Table1_1[[#This Row],[Insurance Status]]="INSURED"),"SENIOR ELIGIBLE","NOT ELIGIBLE")</f>
        <v>NOT ELIGIBLE</v>
      </c>
      <c r="G253" t="s">
        <v>20</v>
      </c>
      <c r="H253" t="s">
        <v>329</v>
      </c>
      <c r="I253" t="s">
        <v>338</v>
      </c>
      <c r="J253" s="1">
        <v>46151</v>
      </c>
      <c r="K253" s="1">
        <v>46161</v>
      </c>
      <c r="L253" t="s">
        <v>17</v>
      </c>
      <c r="M253" t="s">
        <v>328</v>
      </c>
      <c r="N253">
        <v>7634</v>
      </c>
      <c r="O253" t="str">
        <f>IF(OR(Table1_1[[#This Row],[Treatment Cost]]&gt;=20000,Table1_1[[#Headers],[Room Type]]="ICU"),"HIGH COST","NORMAL COST")</f>
        <v>NORMAL COST</v>
      </c>
      <c r="P253" t="s">
        <v>322</v>
      </c>
      <c r="Q253" t="s">
        <v>323</v>
      </c>
    </row>
    <row r="254" spans="1:17" x14ac:dyDescent="0.35">
      <c r="A254" t="s">
        <v>229</v>
      </c>
      <c r="B254" t="s">
        <v>340</v>
      </c>
      <c r="C254" t="s">
        <v>15</v>
      </c>
      <c r="D254">
        <v>22</v>
      </c>
      <c r="E254" t="str">
        <f>IF(Table1_1[[#This Row],[Age]]&lt;=18,"CHILD",IF(Table1_1[[#This Row],[Age]]&lt;59,"ADULT","SENIOR"))</f>
        <v>ADULT</v>
      </c>
      <c r="F254" t="str">
        <f>IF(AND(Table1_1[[#This Row],[Age]]&gt;=60,Table1_1[[#This Row],[Insurance Status]]="INSURED"),"SENIOR ELIGIBLE","NOT ELIGIBLE")</f>
        <v>NOT ELIGIBLE</v>
      </c>
      <c r="G254" t="s">
        <v>26</v>
      </c>
      <c r="H254" t="s">
        <v>342</v>
      </c>
      <c r="I254" t="s">
        <v>326</v>
      </c>
      <c r="J254" s="1">
        <v>46038</v>
      </c>
      <c r="K254" s="1">
        <v>46041</v>
      </c>
      <c r="L254" t="s">
        <v>327</v>
      </c>
      <c r="M254" t="s">
        <v>335</v>
      </c>
      <c r="N254">
        <v>7604</v>
      </c>
      <c r="O254" t="str">
        <f>IF(OR(Table1_1[[#This Row],[Treatment Cost]]&gt;=20000,Table1_1[[#Headers],[Room Type]]="ICU"),"HIGH COST","NORMAL COST")</f>
        <v>NORMAL COST</v>
      </c>
      <c r="P254" t="s">
        <v>322</v>
      </c>
      <c r="Q254" t="s">
        <v>333</v>
      </c>
    </row>
    <row r="255" spans="1:17" x14ac:dyDescent="0.35">
      <c r="A255" t="s">
        <v>293</v>
      </c>
      <c r="B255" t="s">
        <v>337</v>
      </c>
      <c r="C255" t="s">
        <v>19</v>
      </c>
      <c r="D255">
        <v>52</v>
      </c>
      <c r="E255" t="str">
        <f>IF(Table1_1[[#This Row],[Age]]&lt;=18,"CHILD",IF(Table1_1[[#This Row],[Age]]&lt;59,"ADULT","SENIOR"))</f>
        <v>ADULT</v>
      </c>
      <c r="F255" t="str">
        <f>IF(AND(Table1_1[[#This Row],[Age]]&gt;=60,Table1_1[[#This Row],[Insurance Status]]="INSURED"),"SENIOR ELIGIBLE","NOT ELIGIBLE")</f>
        <v>NOT ELIGIBLE</v>
      </c>
      <c r="G255" t="s">
        <v>20</v>
      </c>
      <c r="H255" t="s">
        <v>325</v>
      </c>
      <c r="I255" t="s">
        <v>326</v>
      </c>
      <c r="J255" s="1">
        <v>46095</v>
      </c>
      <c r="K255" s="1">
        <v>46102</v>
      </c>
      <c r="L255" t="s">
        <v>339</v>
      </c>
      <c r="M255" t="s">
        <v>330</v>
      </c>
      <c r="N255">
        <v>7517</v>
      </c>
      <c r="O255" t="str">
        <f>IF(OR(Table1_1[[#This Row],[Treatment Cost]]&gt;=20000,Table1_1[[#Headers],[Room Type]]="ICU"),"HIGH COST","NORMAL COST")</f>
        <v>NORMAL COST</v>
      </c>
      <c r="P255" t="s">
        <v>322</v>
      </c>
      <c r="Q255" t="s">
        <v>333</v>
      </c>
    </row>
    <row r="256" spans="1:17" x14ac:dyDescent="0.35">
      <c r="A256" t="s">
        <v>36</v>
      </c>
      <c r="B256" t="s">
        <v>334</v>
      </c>
      <c r="C256" t="s">
        <v>15</v>
      </c>
      <c r="D256">
        <v>62</v>
      </c>
      <c r="E256" t="str">
        <f>IF(Table1_1[[#This Row],[Age]]&lt;=18,"CHILD",IF(Table1_1[[#This Row],[Age]]&lt;59,"ADULT","SENIOR"))</f>
        <v>SENIOR</v>
      </c>
      <c r="F256" t="str">
        <f>IF(AND(Table1_1[[#This Row],[Age]]&gt;=60,Table1_1[[#This Row],[Insurance Status]]="INSURED"),"SENIOR ELIGIBLE","NOT ELIGIBLE")</f>
        <v>NOT ELIGIBLE</v>
      </c>
      <c r="G256" t="s">
        <v>22</v>
      </c>
      <c r="H256" t="s">
        <v>342</v>
      </c>
      <c r="I256" t="s">
        <v>326</v>
      </c>
      <c r="J256" s="1">
        <v>46125</v>
      </c>
      <c r="K256" s="1">
        <v>46132</v>
      </c>
      <c r="L256" t="s">
        <v>17</v>
      </c>
      <c r="M256" t="s">
        <v>330</v>
      </c>
      <c r="N256">
        <v>7464</v>
      </c>
      <c r="O256" t="str">
        <f>IF(OR(Table1_1[[#This Row],[Treatment Cost]]&gt;=20000,Table1_1[[#Headers],[Room Type]]="ICU"),"HIGH COST","NORMAL COST")</f>
        <v>NORMAL COST</v>
      </c>
      <c r="P256" t="s">
        <v>322</v>
      </c>
      <c r="Q256" t="s">
        <v>23</v>
      </c>
    </row>
    <row r="257" spans="1:17" x14ac:dyDescent="0.35">
      <c r="A257" t="s">
        <v>258</v>
      </c>
      <c r="B257" t="s">
        <v>341</v>
      </c>
      <c r="C257" t="s">
        <v>19</v>
      </c>
      <c r="D257">
        <v>75</v>
      </c>
      <c r="E257" t="str">
        <f>IF(Table1_1[[#This Row],[Age]]&lt;=18,"CHILD",IF(Table1_1[[#This Row],[Age]]&lt;59,"ADULT","SENIOR"))</f>
        <v>SENIOR</v>
      </c>
      <c r="F257" t="str">
        <f>IF(AND(Table1_1[[#This Row],[Age]]&gt;=60,Table1_1[[#This Row],[Insurance Status]]="INSURED"),"SENIOR ELIGIBLE","NOT ELIGIBLE")</f>
        <v>SENIOR ELIGIBLE</v>
      </c>
      <c r="G257" t="s">
        <v>26</v>
      </c>
      <c r="H257" t="s">
        <v>342</v>
      </c>
      <c r="I257" t="s">
        <v>338</v>
      </c>
      <c r="J257" s="1">
        <v>46092</v>
      </c>
      <c r="K257" s="1">
        <v>46100</v>
      </c>
      <c r="L257" t="s">
        <v>332</v>
      </c>
      <c r="M257" t="s">
        <v>321</v>
      </c>
      <c r="N257">
        <v>7461</v>
      </c>
      <c r="O257" t="str">
        <f>IF(OR(Table1_1[[#This Row],[Treatment Cost]]&gt;=20000,Table1_1[[#Headers],[Room Type]]="ICU"),"HIGH COST","NORMAL COST")</f>
        <v>NORMAL COST</v>
      </c>
      <c r="P257" t="s">
        <v>331</v>
      </c>
      <c r="Q257" t="s">
        <v>23</v>
      </c>
    </row>
    <row r="258" spans="1:17" x14ac:dyDescent="0.35">
      <c r="A258" t="s">
        <v>37</v>
      </c>
      <c r="B258" t="s">
        <v>341</v>
      </c>
      <c r="C258" t="s">
        <v>19</v>
      </c>
      <c r="D258">
        <v>54</v>
      </c>
      <c r="E258" t="str">
        <f>IF(Table1_1[[#This Row],[Age]]&lt;=18,"CHILD",IF(Table1_1[[#This Row],[Age]]&lt;59,"ADULT","SENIOR"))</f>
        <v>ADULT</v>
      </c>
      <c r="F258" t="str">
        <f>IF(AND(Table1_1[[#This Row],[Age]]&gt;=60,Table1_1[[#This Row],[Insurance Status]]="INSURED"),"SENIOR ELIGIBLE","NOT ELIGIBLE")</f>
        <v>NOT ELIGIBLE</v>
      </c>
      <c r="G258" t="s">
        <v>16</v>
      </c>
      <c r="H258" t="s">
        <v>329</v>
      </c>
      <c r="I258" t="s">
        <v>326</v>
      </c>
      <c r="J258" s="1">
        <v>46090</v>
      </c>
      <c r="K258" s="1">
        <v>46094</v>
      </c>
      <c r="L258" t="s">
        <v>327</v>
      </c>
      <c r="M258" t="s">
        <v>335</v>
      </c>
      <c r="N258">
        <v>7428</v>
      </c>
      <c r="O258" t="str">
        <f>IF(OR(Table1_1[[#This Row],[Treatment Cost]]&gt;=20000,Table1_1[[#Headers],[Room Type]]="ICU"),"HIGH COST","NORMAL COST")</f>
        <v>NORMAL COST</v>
      </c>
      <c r="P258" t="s">
        <v>322</v>
      </c>
      <c r="Q258" t="s">
        <v>333</v>
      </c>
    </row>
    <row r="259" spans="1:17" x14ac:dyDescent="0.35">
      <c r="A259" t="s">
        <v>118</v>
      </c>
      <c r="B259" t="s">
        <v>340</v>
      </c>
      <c r="C259" t="s">
        <v>19</v>
      </c>
      <c r="D259">
        <v>29</v>
      </c>
      <c r="E259" t="str">
        <f>IF(Table1_1[[#This Row],[Age]]&lt;=18,"CHILD",IF(Table1_1[[#This Row],[Age]]&lt;59,"ADULT","SENIOR"))</f>
        <v>ADULT</v>
      </c>
      <c r="F259" t="str">
        <f>IF(AND(Table1_1[[#This Row],[Age]]&gt;=60,Table1_1[[#This Row],[Insurance Status]]="INSURED"),"SENIOR ELIGIBLE","NOT ELIGIBLE")</f>
        <v>NOT ELIGIBLE</v>
      </c>
      <c r="G259" t="s">
        <v>20</v>
      </c>
      <c r="H259" t="s">
        <v>329</v>
      </c>
      <c r="I259" t="s">
        <v>320</v>
      </c>
      <c r="J259" s="1">
        <v>46093</v>
      </c>
      <c r="K259" s="1">
        <v>46097</v>
      </c>
      <c r="L259" t="s">
        <v>332</v>
      </c>
      <c r="M259" t="s">
        <v>328</v>
      </c>
      <c r="N259">
        <v>7391</v>
      </c>
      <c r="O259" t="str">
        <f>IF(OR(Table1_1[[#This Row],[Treatment Cost]]&gt;=20000,Table1_1[[#Headers],[Room Type]]="ICU"),"HIGH COST","NORMAL COST")</f>
        <v>NORMAL COST</v>
      </c>
      <c r="P259" t="s">
        <v>322</v>
      </c>
      <c r="Q259" t="s">
        <v>23</v>
      </c>
    </row>
    <row r="260" spans="1:17" x14ac:dyDescent="0.35">
      <c r="A260" t="s">
        <v>41</v>
      </c>
      <c r="B260" t="s">
        <v>337</v>
      </c>
      <c r="C260" t="s">
        <v>15</v>
      </c>
      <c r="D260">
        <v>74</v>
      </c>
      <c r="E260" t="str">
        <f>IF(Table1_1[[#This Row],[Age]]&lt;=18,"CHILD",IF(Table1_1[[#This Row],[Age]]&lt;59,"ADULT","SENIOR"))</f>
        <v>SENIOR</v>
      </c>
      <c r="F260" t="str">
        <f>IF(AND(Table1_1[[#This Row],[Age]]&gt;=60,Table1_1[[#This Row],[Insurance Status]]="INSURED"),"SENIOR ELIGIBLE","NOT ELIGIBLE")</f>
        <v>SENIOR ELIGIBLE</v>
      </c>
      <c r="G260" t="s">
        <v>16</v>
      </c>
      <c r="H260" t="s">
        <v>319</v>
      </c>
      <c r="I260" t="s">
        <v>320</v>
      </c>
      <c r="J260" s="1">
        <v>46072</v>
      </c>
      <c r="K260" s="1">
        <v>46078</v>
      </c>
      <c r="L260" t="s">
        <v>332</v>
      </c>
      <c r="M260" t="s">
        <v>328</v>
      </c>
      <c r="N260">
        <v>7204</v>
      </c>
      <c r="O260" t="str">
        <f>IF(OR(Table1_1[[#This Row],[Treatment Cost]]&gt;=20000,Table1_1[[#Headers],[Room Type]]="ICU"),"HIGH COST","NORMAL COST")</f>
        <v>NORMAL COST</v>
      </c>
      <c r="P260" t="s">
        <v>331</v>
      </c>
      <c r="Q260" t="s">
        <v>323</v>
      </c>
    </row>
    <row r="261" spans="1:17" x14ac:dyDescent="0.35">
      <c r="A261" t="s">
        <v>25</v>
      </c>
      <c r="B261" t="s">
        <v>334</v>
      </c>
      <c r="C261" t="s">
        <v>15</v>
      </c>
      <c r="D261">
        <v>40</v>
      </c>
      <c r="E261" t="str">
        <f>IF(Table1_1[[#This Row],[Age]]&lt;=18,"CHILD",IF(Table1_1[[#This Row],[Age]]&lt;59,"ADULT","SENIOR"))</f>
        <v>ADULT</v>
      </c>
      <c r="F261" t="str">
        <f>IF(AND(Table1_1[[#This Row],[Age]]&gt;=60,Table1_1[[#This Row],[Insurance Status]]="INSURED"),"SENIOR ELIGIBLE","NOT ELIGIBLE")</f>
        <v>NOT ELIGIBLE</v>
      </c>
      <c r="G261" t="s">
        <v>26</v>
      </c>
      <c r="H261" t="s">
        <v>329</v>
      </c>
      <c r="I261" t="s">
        <v>326</v>
      </c>
      <c r="J261" s="1">
        <v>46117</v>
      </c>
      <c r="K261" s="1">
        <v>46122</v>
      </c>
      <c r="L261" t="s">
        <v>332</v>
      </c>
      <c r="M261" t="s">
        <v>335</v>
      </c>
      <c r="N261">
        <v>7167</v>
      </c>
      <c r="O261" t="str">
        <f>IF(OR(Table1_1[[#This Row],[Treatment Cost]]&gt;=20000,Table1_1[[#Headers],[Room Type]]="ICU"),"HIGH COST","NORMAL COST")</f>
        <v>NORMAL COST</v>
      </c>
      <c r="P261" t="s">
        <v>331</v>
      </c>
      <c r="Q261" t="s">
        <v>333</v>
      </c>
    </row>
    <row r="262" spans="1:17" x14ac:dyDescent="0.35">
      <c r="A262" t="s">
        <v>160</v>
      </c>
      <c r="B262" t="s">
        <v>334</v>
      </c>
      <c r="C262" t="s">
        <v>15</v>
      </c>
      <c r="D262">
        <v>32</v>
      </c>
      <c r="E262" t="str">
        <f>IF(Table1_1[[#This Row],[Age]]&lt;=18,"CHILD",IF(Table1_1[[#This Row],[Age]]&lt;59,"ADULT","SENIOR"))</f>
        <v>ADULT</v>
      </c>
      <c r="F262" t="str">
        <f>IF(AND(Table1_1[[#This Row],[Age]]&gt;=60,Table1_1[[#This Row],[Insurance Status]]="INSURED"),"SENIOR ELIGIBLE","NOT ELIGIBLE")</f>
        <v>NOT ELIGIBLE</v>
      </c>
      <c r="G262" t="s">
        <v>20</v>
      </c>
      <c r="H262" t="s">
        <v>319</v>
      </c>
      <c r="I262" t="s">
        <v>338</v>
      </c>
      <c r="J262" s="1">
        <v>46053</v>
      </c>
      <c r="K262" s="1">
        <v>46058</v>
      </c>
      <c r="L262" t="s">
        <v>339</v>
      </c>
      <c r="M262" t="s">
        <v>335</v>
      </c>
      <c r="N262">
        <v>7095</v>
      </c>
      <c r="O262" t="str">
        <f>IF(OR(Table1_1[[#This Row],[Treatment Cost]]&gt;=20000,Table1_1[[#Headers],[Room Type]]="ICU"),"HIGH COST","NORMAL COST")</f>
        <v>NORMAL COST</v>
      </c>
      <c r="P262" t="s">
        <v>331</v>
      </c>
      <c r="Q262" t="s">
        <v>333</v>
      </c>
    </row>
    <row r="263" spans="1:17" x14ac:dyDescent="0.35">
      <c r="A263" t="s">
        <v>89</v>
      </c>
      <c r="B263" t="s">
        <v>324</v>
      </c>
      <c r="C263" t="s">
        <v>19</v>
      </c>
      <c r="D263">
        <v>54</v>
      </c>
      <c r="E263" t="str">
        <f>IF(Table1_1[[#This Row],[Age]]&lt;=18,"CHILD",IF(Table1_1[[#This Row],[Age]]&lt;59,"ADULT","SENIOR"))</f>
        <v>ADULT</v>
      </c>
      <c r="F263" t="str">
        <f>IF(AND(Table1_1[[#This Row],[Age]]&gt;=60,Table1_1[[#This Row],[Insurance Status]]="INSURED"),"SENIOR ELIGIBLE","NOT ELIGIBLE")</f>
        <v>NOT ELIGIBLE</v>
      </c>
      <c r="G263" t="s">
        <v>26</v>
      </c>
      <c r="H263" t="s">
        <v>329</v>
      </c>
      <c r="I263" t="s">
        <v>338</v>
      </c>
      <c r="J263" s="1">
        <v>46094</v>
      </c>
      <c r="K263" s="1">
        <v>46096</v>
      </c>
      <c r="L263" t="s">
        <v>17</v>
      </c>
      <c r="M263" t="s">
        <v>330</v>
      </c>
      <c r="N263">
        <v>6764</v>
      </c>
      <c r="O263" t="str">
        <f>IF(OR(Table1_1[[#This Row],[Treatment Cost]]&gt;=20000,Table1_1[[#Headers],[Room Type]]="ICU"),"HIGH COST","NORMAL COST")</f>
        <v>NORMAL COST</v>
      </c>
      <c r="P263" t="s">
        <v>322</v>
      </c>
      <c r="Q263" t="s">
        <v>333</v>
      </c>
    </row>
    <row r="264" spans="1:17" x14ac:dyDescent="0.35">
      <c r="A264" t="s">
        <v>225</v>
      </c>
      <c r="B264" t="s">
        <v>318</v>
      </c>
      <c r="C264" t="s">
        <v>15</v>
      </c>
      <c r="D264">
        <v>42</v>
      </c>
      <c r="E264" t="str">
        <f>IF(Table1_1[[#This Row],[Age]]&lt;=18,"CHILD",IF(Table1_1[[#This Row],[Age]]&lt;59,"ADULT","SENIOR"))</f>
        <v>ADULT</v>
      </c>
      <c r="F264" t="str">
        <f>IF(AND(Table1_1[[#This Row],[Age]]&gt;=60,Table1_1[[#This Row],[Insurance Status]]="INSURED"),"SENIOR ELIGIBLE","NOT ELIGIBLE")</f>
        <v>NOT ELIGIBLE</v>
      </c>
      <c r="G264" t="s">
        <v>26</v>
      </c>
      <c r="H264" t="s">
        <v>329</v>
      </c>
      <c r="I264" t="s">
        <v>336</v>
      </c>
      <c r="J264" s="1">
        <v>46165</v>
      </c>
      <c r="K264" s="1">
        <v>46166</v>
      </c>
      <c r="L264" t="s">
        <v>17</v>
      </c>
      <c r="M264" t="s">
        <v>330</v>
      </c>
      <c r="N264">
        <v>6651</v>
      </c>
      <c r="O264" t="str">
        <f>IF(OR(Table1_1[[#This Row],[Treatment Cost]]&gt;=20000,Table1_1[[#Headers],[Room Type]]="ICU"),"HIGH COST","NORMAL COST")</f>
        <v>NORMAL COST</v>
      </c>
      <c r="P264" t="s">
        <v>322</v>
      </c>
      <c r="Q264" t="s">
        <v>323</v>
      </c>
    </row>
    <row r="265" spans="1:17" x14ac:dyDescent="0.35">
      <c r="A265" t="s">
        <v>116</v>
      </c>
      <c r="B265" t="s">
        <v>318</v>
      </c>
      <c r="C265" t="s">
        <v>19</v>
      </c>
      <c r="D265">
        <v>57</v>
      </c>
      <c r="E265" t="str">
        <f>IF(Table1_1[[#This Row],[Age]]&lt;=18,"CHILD",IF(Table1_1[[#This Row],[Age]]&lt;59,"ADULT","SENIOR"))</f>
        <v>ADULT</v>
      </c>
      <c r="F265" t="str">
        <f>IF(AND(Table1_1[[#This Row],[Age]]&gt;=60,Table1_1[[#This Row],[Insurance Status]]="INSURED"),"SENIOR ELIGIBLE","NOT ELIGIBLE")</f>
        <v>NOT ELIGIBLE</v>
      </c>
      <c r="G265" t="s">
        <v>20</v>
      </c>
      <c r="H265" t="s">
        <v>329</v>
      </c>
      <c r="I265" t="s">
        <v>336</v>
      </c>
      <c r="J265" s="1">
        <v>46088</v>
      </c>
      <c r="K265" s="1">
        <v>46096</v>
      </c>
      <c r="L265" t="s">
        <v>332</v>
      </c>
      <c r="M265" t="s">
        <v>321</v>
      </c>
      <c r="N265">
        <v>6624</v>
      </c>
      <c r="O265" t="str">
        <f>IF(OR(Table1_1[[#This Row],[Treatment Cost]]&gt;=20000,Table1_1[[#Headers],[Room Type]]="ICU"),"HIGH COST","NORMAL COST")</f>
        <v>NORMAL COST</v>
      </c>
      <c r="P265" t="s">
        <v>322</v>
      </c>
      <c r="Q265" t="s">
        <v>23</v>
      </c>
    </row>
    <row r="266" spans="1:17" x14ac:dyDescent="0.35">
      <c r="A266" t="s">
        <v>210</v>
      </c>
      <c r="B266" t="s">
        <v>340</v>
      </c>
      <c r="C266" t="s">
        <v>15</v>
      </c>
      <c r="D266">
        <v>61</v>
      </c>
      <c r="E266" t="str">
        <f>IF(Table1_1[[#This Row],[Age]]&lt;=18,"CHILD",IF(Table1_1[[#This Row],[Age]]&lt;59,"ADULT","SENIOR"))</f>
        <v>SENIOR</v>
      </c>
      <c r="F266" t="str">
        <f>IF(AND(Table1_1[[#This Row],[Age]]&gt;=60,Table1_1[[#This Row],[Insurance Status]]="INSURED"),"SENIOR ELIGIBLE","NOT ELIGIBLE")</f>
        <v>NOT ELIGIBLE</v>
      </c>
      <c r="G266" t="s">
        <v>20</v>
      </c>
      <c r="H266" t="s">
        <v>325</v>
      </c>
      <c r="I266" t="s">
        <v>338</v>
      </c>
      <c r="J266" s="1">
        <v>46056</v>
      </c>
      <c r="K266" s="1">
        <v>46064</v>
      </c>
      <c r="L266" t="s">
        <v>17</v>
      </c>
      <c r="M266" t="s">
        <v>328</v>
      </c>
      <c r="N266">
        <v>6604</v>
      </c>
      <c r="O266" t="str">
        <f>IF(OR(Table1_1[[#This Row],[Treatment Cost]]&gt;=20000,Table1_1[[#Headers],[Room Type]]="ICU"),"HIGH COST","NORMAL COST")</f>
        <v>NORMAL COST</v>
      </c>
      <c r="P266" t="s">
        <v>322</v>
      </c>
      <c r="Q266" t="s">
        <v>323</v>
      </c>
    </row>
    <row r="267" spans="1:17" x14ac:dyDescent="0.35">
      <c r="A267" t="s">
        <v>68</v>
      </c>
      <c r="B267" t="s">
        <v>334</v>
      </c>
      <c r="C267" t="s">
        <v>15</v>
      </c>
      <c r="D267">
        <v>34</v>
      </c>
      <c r="E267" t="str">
        <f>IF(Table1_1[[#This Row],[Age]]&lt;=18,"CHILD",IF(Table1_1[[#This Row],[Age]]&lt;59,"ADULT","SENIOR"))</f>
        <v>ADULT</v>
      </c>
      <c r="F267" t="str">
        <f>IF(AND(Table1_1[[#This Row],[Age]]&gt;=60,Table1_1[[#This Row],[Insurance Status]]="INSURED"),"SENIOR ELIGIBLE","NOT ELIGIBLE")</f>
        <v>NOT ELIGIBLE</v>
      </c>
      <c r="G267" t="s">
        <v>26</v>
      </c>
      <c r="H267" t="s">
        <v>325</v>
      </c>
      <c r="I267" t="s">
        <v>338</v>
      </c>
      <c r="J267" s="1">
        <v>46059</v>
      </c>
      <c r="K267" s="1">
        <v>46065</v>
      </c>
      <c r="L267" t="s">
        <v>327</v>
      </c>
      <c r="M267" t="s">
        <v>321</v>
      </c>
      <c r="N267">
        <v>6555</v>
      </c>
      <c r="O267" t="str">
        <f>IF(OR(Table1_1[[#This Row],[Treatment Cost]]&gt;=20000,Table1_1[[#Headers],[Room Type]]="ICU"),"HIGH COST","NORMAL COST")</f>
        <v>NORMAL COST</v>
      </c>
      <c r="P267" t="s">
        <v>322</v>
      </c>
      <c r="Q267" t="s">
        <v>323</v>
      </c>
    </row>
    <row r="268" spans="1:17" x14ac:dyDescent="0.35">
      <c r="A268" t="s">
        <v>46</v>
      </c>
      <c r="B268" t="s">
        <v>341</v>
      </c>
      <c r="C268" t="s">
        <v>19</v>
      </c>
      <c r="D268">
        <v>73</v>
      </c>
      <c r="E268" t="str">
        <f>IF(Table1_1[[#This Row],[Age]]&lt;=18,"CHILD",IF(Table1_1[[#This Row],[Age]]&lt;59,"ADULT","SENIOR"))</f>
        <v>SENIOR</v>
      </c>
      <c r="F268" t="str">
        <f>IF(AND(Table1_1[[#This Row],[Age]]&gt;=60,Table1_1[[#This Row],[Insurance Status]]="INSURED"),"SENIOR ELIGIBLE","NOT ELIGIBLE")</f>
        <v>NOT ELIGIBLE</v>
      </c>
      <c r="G268" t="s">
        <v>22</v>
      </c>
      <c r="H268" t="s">
        <v>329</v>
      </c>
      <c r="I268" t="s">
        <v>326</v>
      </c>
      <c r="J268" s="1">
        <v>46157</v>
      </c>
      <c r="K268" s="1">
        <v>46161</v>
      </c>
      <c r="L268" t="s">
        <v>332</v>
      </c>
      <c r="M268" t="s">
        <v>335</v>
      </c>
      <c r="N268">
        <v>6404</v>
      </c>
      <c r="O268" t="str">
        <f>IF(OR(Table1_1[[#This Row],[Treatment Cost]]&gt;=20000,Table1_1[[#Headers],[Room Type]]="ICU"),"HIGH COST","NORMAL COST")</f>
        <v>NORMAL COST</v>
      </c>
      <c r="P268" t="s">
        <v>322</v>
      </c>
      <c r="Q268" t="s">
        <v>23</v>
      </c>
    </row>
    <row r="269" spans="1:17" x14ac:dyDescent="0.35">
      <c r="A269" t="s">
        <v>30</v>
      </c>
      <c r="B269" t="s">
        <v>340</v>
      </c>
      <c r="C269" t="s">
        <v>15</v>
      </c>
      <c r="D269">
        <v>41</v>
      </c>
      <c r="E269" t="str">
        <f>IF(Table1_1[[#This Row],[Age]]&lt;=18,"CHILD",IF(Table1_1[[#This Row],[Age]]&lt;59,"ADULT","SENIOR"))</f>
        <v>ADULT</v>
      </c>
      <c r="F269" t="str">
        <f>IF(AND(Table1_1[[#This Row],[Age]]&gt;=60,Table1_1[[#This Row],[Insurance Status]]="INSURED"),"SENIOR ELIGIBLE","NOT ELIGIBLE")</f>
        <v>NOT ELIGIBLE</v>
      </c>
      <c r="G269" t="s">
        <v>26</v>
      </c>
      <c r="H269" t="s">
        <v>325</v>
      </c>
      <c r="I269" t="s">
        <v>326</v>
      </c>
      <c r="J269" s="1">
        <v>46164</v>
      </c>
      <c r="K269" s="1">
        <v>46167</v>
      </c>
      <c r="L269" t="s">
        <v>327</v>
      </c>
      <c r="M269" t="s">
        <v>328</v>
      </c>
      <c r="N269">
        <v>6298</v>
      </c>
      <c r="O269" t="str">
        <f>IF(OR(Table1_1[[#This Row],[Treatment Cost]]&gt;=20000,Table1_1[[#Headers],[Room Type]]="ICU"),"HIGH COST","NORMAL COST")</f>
        <v>NORMAL COST</v>
      </c>
      <c r="P269" t="s">
        <v>331</v>
      </c>
      <c r="Q269" t="s">
        <v>323</v>
      </c>
    </row>
    <row r="270" spans="1:17" x14ac:dyDescent="0.35">
      <c r="A270" t="s">
        <v>94</v>
      </c>
      <c r="B270" t="s">
        <v>318</v>
      </c>
      <c r="C270" t="s">
        <v>15</v>
      </c>
      <c r="D270">
        <v>59</v>
      </c>
      <c r="E270" t="str">
        <f>IF(Table1_1[[#This Row],[Age]]&lt;=18,"CHILD",IF(Table1_1[[#This Row],[Age]]&lt;59,"ADULT","SENIOR"))</f>
        <v>SENIOR</v>
      </c>
      <c r="F270" t="str">
        <f>IF(AND(Table1_1[[#This Row],[Age]]&gt;=60,Table1_1[[#This Row],[Insurance Status]]="INSURED"),"SENIOR ELIGIBLE","NOT ELIGIBLE")</f>
        <v>NOT ELIGIBLE</v>
      </c>
      <c r="G270" t="s">
        <v>16</v>
      </c>
      <c r="H270" t="s">
        <v>319</v>
      </c>
      <c r="I270" t="s">
        <v>338</v>
      </c>
      <c r="J270" s="1">
        <v>46089</v>
      </c>
      <c r="K270" s="1">
        <v>46096</v>
      </c>
      <c r="L270" t="s">
        <v>327</v>
      </c>
      <c r="M270" t="s">
        <v>330</v>
      </c>
      <c r="N270">
        <v>6245</v>
      </c>
      <c r="O270" t="str">
        <f>IF(OR(Table1_1[[#This Row],[Treatment Cost]]&gt;=20000,Table1_1[[#Headers],[Room Type]]="ICU"),"HIGH COST","NORMAL COST")</f>
        <v>NORMAL COST</v>
      </c>
      <c r="P270" t="s">
        <v>322</v>
      </c>
      <c r="Q270" t="s">
        <v>323</v>
      </c>
    </row>
    <row r="271" spans="1:17" x14ac:dyDescent="0.35">
      <c r="A271" t="s">
        <v>163</v>
      </c>
      <c r="B271" t="s">
        <v>334</v>
      </c>
      <c r="C271" t="s">
        <v>19</v>
      </c>
      <c r="D271">
        <v>23</v>
      </c>
      <c r="E271" t="str">
        <f>IF(Table1_1[[#This Row],[Age]]&lt;=18,"CHILD",IF(Table1_1[[#This Row],[Age]]&lt;59,"ADULT","SENIOR"))</f>
        <v>ADULT</v>
      </c>
      <c r="F271" t="str">
        <f>IF(AND(Table1_1[[#This Row],[Age]]&gt;=60,Table1_1[[#This Row],[Insurance Status]]="INSURED"),"SENIOR ELIGIBLE","NOT ELIGIBLE")</f>
        <v>NOT ELIGIBLE</v>
      </c>
      <c r="G271" t="s">
        <v>16</v>
      </c>
      <c r="H271" t="s">
        <v>319</v>
      </c>
      <c r="I271" t="s">
        <v>320</v>
      </c>
      <c r="J271" s="1">
        <v>46029</v>
      </c>
      <c r="K271" s="1">
        <v>46038</v>
      </c>
      <c r="L271" t="s">
        <v>327</v>
      </c>
      <c r="M271" t="s">
        <v>335</v>
      </c>
      <c r="N271">
        <v>6052</v>
      </c>
      <c r="O271" t="str">
        <f>IF(OR(Table1_1[[#This Row],[Treatment Cost]]&gt;=20000,Table1_1[[#Headers],[Room Type]]="ICU"),"HIGH COST","NORMAL COST")</f>
        <v>NORMAL COST</v>
      </c>
      <c r="P271" t="s">
        <v>331</v>
      </c>
      <c r="Q271" t="s">
        <v>333</v>
      </c>
    </row>
    <row r="272" spans="1:17" x14ac:dyDescent="0.35">
      <c r="A272" t="s">
        <v>260</v>
      </c>
      <c r="B272" t="s">
        <v>340</v>
      </c>
      <c r="C272" t="s">
        <v>15</v>
      </c>
      <c r="D272">
        <v>36</v>
      </c>
      <c r="E272" t="str">
        <f>IF(Table1_1[[#This Row],[Age]]&lt;=18,"CHILD",IF(Table1_1[[#This Row],[Age]]&lt;59,"ADULT","SENIOR"))</f>
        <v>ADULT</v>
      </c>
      <c r="F272" t="str">
        <f>IF(AND(Table1_1[[#This Row],[Age]]&gt;=60,Table1_1[[#This Row],[Insurance Status]]="INSURED"),"SENIOR ELIGIBLE","NOT ELIGIBLE")</f>
        <v>NOT ELIGIBLE</v>
      </c>
      <c r="G272" t="s">
        <v>20</v>
      </c>
      <c r="H272" t="s">
        <v>329</v>
      </c>
      <c r="I272" t="s">
        <v>320</v>
      </c>
      <c r="J272" s="1">
        <v>46094</v>
      </c>
      <c r="K272" s="1">
        <v>46095</v>
      </c>
      <c r="L272" t="s">
        <v>327</v>
      </c>
      <c r="M272" t="s">
        <v>330</v>
      </c>
      <c r="N272">
        <v>6026</v>
      </c>
      <c r="O272" t="str">
        <f>IF(OR(Table1_1[[#This Row],[Treatment Cost]]&gt;=20000,Table1_1[[#Headers],[Room Type]]="ICU"),"HIGH COST","NORMAL COST")</f>
        <v>NORMAL COST</v>
      </c>
      <c r="P272" t="s">
        <v>331</v>
      </c>
      <c r="Q272" t="s">
        <v>333</v>
      </c>
    </row>
    <row r="273" spans="1:17" x14ac:dyDescent="0.35">
      <c r="A273" t="s">
        <v>179</v>
      </c>
      <c r="B273" t="s">
        <v>340</v>
      </c>
      <c r="C273" t="s">
        <v>19</v>
      </c>
      <c r="D273">
        <v>38</v>
      </c>
      <c r="E273" t="str">
        <f>IF(Table1_1[[#This Row],[Age]]&lt;=18,"CHILD",IF(Table1_1[[#This Row],[Age]]&lt;59,"ADULT","SENIOR"))</f>
        <v>ADULT</v>
      </c>
      <c r="F273" t="str">
        <f>IF(AND(Table1_1[[#This Row],[Age]]&gt;=60,Table1_1[[#This Row],[Insurance Status]]="INSURED"),"SENIOR ELIGIBLE","NOT ELIGIBLE")</f>
        <v>NOT ELIGIBLE</v>
      </c>
      <c r="G273" t="s">
        <v>26</v>
      </c>
      <c r="H273" t="s">
        <v>342</v>
      </c>
      <c r="I273" t="s">
        <v>320</v>
      </c>
      <c r="J273" s="1">
        <v>46035</v>
      </c>
      <c r="K273" s="1">
        <v>46042</v>
      </c>
      <c r="L273" t="s">
        <v>339</v>
      </c>
      <c r="M273" t="s">
        <v>328</v>
      </c>
      <c r="N273">
        <v>5727</v>
      </c>
      <c r="O273" t="str">
        <f>IF(OR(Table1_1[[#This Row],[Treatment Cost]]&gt;=20000,Table1_1[[#Headers],[Room Type]]="ICU"),"HIGH COST","NORMAL COST")</f>
        <v>NORMAL COST</v>
      </c>
      <c r="P273" t="s">
        <v>331</v>
      </c>
      <c r="Q273" t="s">
        <v>333</v>
      </c>
    </row>
    <row r="274" spans="1:17" x14ac:dyDescent="0.35">
      <c r="A274" t="s">
        <v>265</v>
      </c>
      <c r="B274" t="s">
        <v>341</v>
      </c>
      <c r="C274" t="s">
        <v>19</v>
      </c>
      <c r="D274">
        <v>53</v>
      </c>
      <c r="E274" t="str">
        <f>IF(Table1_1[[#This Row],[Age]]&lt;=18,"CHILD",IF(Table1_1[[#This Row],[Age]]&lt;59,"ADULT","SENIOR"))</f>
        <v>ADULT</v>
      </c>
      <c r="F274" t="str">
        <f>IF(AND(Table1_1[[#This Row],[Age]]&gt;=60,Table1_1[[#This Row],[Insurance Status]]="INSURED"),"SENIOR ELIGIBLE","NOT ELIGIBLE")</f>
        <v>NOT ELIGIBLE</v>
      </c>
      <c r="G274" t="s">
        <v>26</v>
      </c>
      <c r="H274" t="s">
        <v>342</v>
      </c>
      <c r="I274" t="s">
        <v>338</v>
      </c>
      <c r="J274" s="1">
        <v>46026</v>
      </c>
      <c r="K274" s="1">
        <v>46034</v>
      </c>
      <c r="L274" t="s">
        <v>332</v>
      </c>
      <c r="M274" t="s">
        <v>335</v>
      </c>
      <c r="N274">
        <v>5683</v>
      </c>
      <c r="O274" t="str">
        <f>IF(OR(Table1_1[[#This Row],[Treatment Cost]]&gt;=20000,Table1_1[[#Headers],[Room Type]]="ICU"),"HIGH COST","NORMAL COST")</f>
        <v>NORMAL COST</v>
      </c>
      <c r="P274" t="s">
        <v>331</v>
      </c>
      <c r="Q274" t="s">
        <v>23</v>
      </c>
    </row>
    <row r="275" spans="1:17" x14ac:dyDescent="0.35">
      <c r="A275" t="s">
        <v>130</v>
      </c>
      <c r="B275" t="s">
        <v>318</v>
      </c>
      <c r="C275" t="s">
        <v>15</v>
      </c>
      <c r="D275">
        <v>37</v>
      </c>
      <c r="E275" t="str">
        <f>IF(Table1_1[[#This Row],[Age]]&lt;=18,"CHILD",IF(Table1_1[[#This Row],[Age]]&lt;59,"ADULT","SENIOR"))</f>
        <v>ADULT</v>
      </c>
      <c r="F275" t="str">
        <f>IF(AND(Table1_1[[#This Row],[Age]]&gt;=60,Table1_1[[#This Row],[Insurance Status]]="INSURED"),"SENIOR ELIGIBLE","NOT ELIGIBLE")</f>
        <v>NOT ELIGIBLE</v>
      </c>
      <c r="G275" t="s">
        <v>20</v>
      </c>
      <c r="H275" t="s">
        <v>329</v>
      </c>
      <c r="I275" t="s">
        <v>320</v>
      </c>
      <c r="J275" s="1">
        <v>46197</v>
      </c>
      <c r="K275" s="1">
        <v>46201</v>
      </c>
      <c r="L275" t="s">
        <v>332</v>
      </c>
      <c r="M275" t="s">
        <v>328</v>
      </c>
      <c r="N275">
        <v>5620</v>
      </c>
      <c r="O275" t="str">
        <f>IF(OR(Table1_1[[#This Row],[Treatment Cost]]&gt;=20000,Table1_1[[#Headers],[Room Type]]="ICU"),"HIGH COST","NORMAL COST")</f>
        <v>NORMAL COST</v>
      </c>
      <c r="P275" t="s">
        <v>322</v>
      </c>
      <c r="Q275" t="s">
        <v>323</v>
      </c>
    </row>
    <row r="276" spans="1:17" x14ac:dyDescent="0.35">
      <c r="A276" t="s">
        <v>137</v>
      </c>
      <c r="B276" t="s">
        <v>340</v>
      </c>
      <c r="C276" t="s">
        <v>19</v>
      </c>
      <c r="D276">
        <v>43</v>
      </c>
      <c r="E276" t="str">
        <f>IF(Table1_1[[#This Row],[Age]]&lt;=18,"CHILD",IF(Table1_1[[#This Row],[Age]]&lt;59,"ADULT","SENIOR"))</f>
        <v>ADULT</v>
      </c>
      <c r="F276" t="str">
        <f>IF(AND(Table1_1[[#This Row],[Age]]&gt;=60,Table1_1[[#This Row],[Insurance Status]]="INSURED"),"SENIOR ELIGIBLE","NOT ELIGIBLE")</f>
        <v>NOT ELIGIBLE</v>
      </c>
      <c r="G276" t="s">
        <v>26</v>
      </c>
      <c r="H276" t="s">
        <v>325</v>
      </c>
      <c r="I276" t="s">
        <v>320</v>
      </c>
      <c r="J276" s="1">
        <v>46166</v>
      </c>
      <c r="K276" s="1">
        <v>46172</v>
      </c>
      <c r="L276" t="s">
        <v>339</v>
      </c>
      <c r="M276" t="s">
        <v>335</v>
      </c>
      <c r="N276">
        <v>5591</v>
      </c>
      <c r="O276" t="str">
        <f>IF(OR(Table1_1[[#This Row],[Treatment Cost]]&gt;=20000,Table1_1[[#Headers],[Room Type]]="ICU"),"HIGH COST","NORMAL COST")</f>
        <v>NORMAL COST</v>
      </c>
      <c r="P276" t="s">
        <v>322</v>
      </c>
      <c r="Q276" t="s">
        <v>333</v>
      </c>
    </row>
    <row r="277" spans="1:17" x14ac:dyDescent="0.35">
      <c r="A277" t="s">
        <v>276</v>
      </c>
      <c r="B277" t="s">
        <v>340</v>
      </c>
      <c r="C277" t="s">
        <v>15</v>
      </c>
      <c r="D277">
        <v>29</v>
      </c>
      <c r="E277" t="str">
        <f>IF(Table1_1[[#This Row],[Age]]&lt;=18,"CHILD",IF(Table1_1[[#This Row],[Age]]&lt;59,"ADULT","SENIOR"))</f>
        <v>ADULT</v>
      </c>
      <c r="F277" t="str">
        <f>IF(AND(Table1_1[[#This Row],[Age]]&gt;=60,Table1_1[[#This Row],[Insurance Status]]="INSURED"),"SENIOR ELIGIBLE","NOT ELIGIBLE")</f>
        <v>NOT ELIGIBLE</v>
      </c>
      <c r="G277" t="s">
        <v>26</v>
      </c>
      <c r="H277" t="s">
        <v>325</v>
      </c>
      <c r="I277" t="s">
        <v>320</v>
      </c>
      <c r="J277" s="1">
        <v>46166</v>
      </c>
      <c r="K277" s="1">
        <v>46170</v>
      </c>
      <c r="L277" t="s">
        <v>17</v>
      </c>
      <c r="M277" t="s">
        <v>328</v>
      </c>
      <c r="N277">
        <v>4666</v>
      </c>
      <c r="O277" t="str">
        <f>IF(OR(Table1_1[[#This Row],[Treatment Cost]]&gt;=20000,Table1_1[[#Headers],[Room Type]]="ICU"),"HIGH COST","NORMAL COST")</f>
        <v>NORMAL COST</v>
      </c>
      <c r="P277" t="s">
        <v>322</v>
      </c>
      <c r="Q277" t="s">
        <v>333</v>
      </c>
    </row>
    <row r="278" spans="1:17" x14ac:dyDescent="0.35">
      <c r="A278" t="s">
        <v>138</v>
      </c>
      <c r="B278" t="s">
        <v>324</v>
      </c>
      <c r="C278" t="s">
        <v>15</v>
      </c>
      <c r="D278">
        <v>40</v>
      </c>
      <c r="E278" t="str">
        <f>IF(Table1_1[[#This Row],[Age]]&lt;=18,"CHILD",IF(Table1_1[[#This Row],[Age]]&lt;59,"ADULT","SENIOR"))</f>
        <v>ADULT</v>
      </c>
      <c r="F278" t="str">
        <f>IF(AND(Table1_1[[#This Row],[Age]]&gt;=60,Table1_1[[#This Row],[Insurance Status]]="INSURED"),"SENIOR ELIGIBLE","NOT ELIGIBLE")</f>
        <v>NOT ELIGIBLE</v>
      </c>
      <c r="G278" t="s">
        <v>26</v>
      </c>
      <c r="H278" t="s">
        <v>329</v>
      </c>
      <c r="I278" t="s">
        <v>338</v>
      </c>
      <c r="J278" s="1">
        <v>46193</v>
      </c>
      <c r="K278" s="1">
        <v>46195</v>
      </c>
      <c r="L278" t="s">
        <v>339</v>
      </c>
      <c r="M278" t="s">
        <v>335</v>
      </c>
      <c r="N278">
        <v>4558</v>
      </c>
      <c r="O278" t="str">
        <f>IF(OR(Table1_1[[#This Row],[Treatment Cost]]&gt;=20000,Table1_1[[#Headers],[Room Type]]="ICU"),"HIGH COST","NORMAL COST")</f>
        <v>NORMAL COST</v>
      </c>
      <c r="P278" t="s">
        <v>331</v>
      </c>
      <c r="Q278" t="s">
        <v>23</v>
      </c>
    </row>
    <row r="279" spans="1:17" x14ac:dyDescent="0.35">
      <c r="A279" t="s">
        <v>294</v>
      </c>
      <c r="B279" t="s">
        <v>340</v>
      </c>
      <c r="C279" t="s">
        <v>15</v>
      </c>
      <c r="D279">
        <v>22</v>
      </c>
      <c r="E279" t="str">
        <f>IF(Table1_1[[#This Row],[Age]]&lt;=18,"CHILD",IF(Table1_1[[#This Row],[Age]]&lt;59,"ADULT","SENIOR"))</f>
        <v>ADULT</v>
      </c>
      <c r="F279" t="str">
        <f>IF(AND(Table1_1[[#This Row],[Age]]&gt;=60,Table1_1[[#This Row],[Insurance Status]]="INSURED"),"SENIOR ELIGIBLE","NOT ELIGIBLE")</f>
        <v>NOT ELIGIBLE</v>
      </c>
      <c r="G279" t="s">
        <v>26</v>
      </c>
      <c r="H279" t="s">
        <v>319</v>
      </c>
      <c r="I279" t="s">
        <v>320</v>
      </c>
      <c r="J279" s="1">
        <v>46116</v>
      </c>
      <c r="K279" s="1">
        <v>46120</v>
      </c>
      <c r="L279" t="s">
        <v>339</v>
      </c>
      <c r="M279" t="s">
        <v>328</v>
      </c>
      <c r="N279">
        <v>4545</v>
      </c>
      <c r="O279" t="str">
        <f>IF(OR(Table1_1[[#This Row],[Treatment Cost]]&gt;=20000,Table1_1[[#Headers],[Room Type]]="ICU"),"HIGH COST","NORMAL COST")</f>
        <v>NORMAL COST</v>
      </c>
      <c r="P279" t="s">
        <v>331</v>
      </c>
      <c r="Q279" t="s">
        <v>333</v>
      </c>
    </row>
    <row r="280" spans="1:17" x14ac:dyDescent="0.35">
      <c r="A280" t="s">
        <v>301</v>
      </c>
      <c r="B280" t="s">
        <v>340</v>
      </c>
      <c r="C280" t="s">
        <v>15</v>
      </c>
      <c r="D280">
        <v>38</v>
      </c>
      <c r="E280" t="str">
        <f>IF(Table1_1[[#This Row],[Age]]&lt;=18,"CHILD",IF(Table1_1[[#This Row],[Age]]&lt;59,"ADULT","SENIOR"))</f>
        <v>ADULT</v>
      </c>
      <c r="F280" t="str">
        <f>IF(AND(Table1_1[[#This Row],[Age]]&gt;=60,Table1_1[[#This Row],[Insurance Status]]="INSURED"),"SENIOR ELIGIBLE","NOT ELIGIBLE")</f>
        <v>NOT ELIGIBLE</v>
      </c>
      <c r="G280" t="s">
        <v>16</v>
      </c>
      <c r="H280" t="s">
        <v>329</v>
      </c>
      <c r="I280" t="s">
        <v>336</v>
      </c>
      <c r="J280" s="1">
        <v>46109</v>
      </c>
      <c r="K280" s="1">
        <v>46113</v>
      </c>
      <c r="L280" t="s">
        <v>332</v>
      </c>
      <c r="M280" t="s">
        <v>335</v>
      </c>
      <c r="N280">
        <v>4493</v>
      </c>
      <c r="O280" t="str">
        <f>IF(OR(Table1_1[[#This Row],[Treatment Cost]]&gt;=20000,Table1_1[[#Headers],[Room Type]]="ICU"),"HIGH COST","NORMAL COST")</f>
        <v>NORMAL COST</v>
      </c>
      <c r="P280" t="s">
        <v>322</v>
      </c>
      <c r="Q280" t="s">
        <v>23</v>
      </c>
    </row>
    <row r="281" spans="1:17" x14ac:dyDescent="0.35">
      <c r="A281" t="s">
        <v>173</v>
      </c>
      <c r="B281" t="s">
        <v>341</v>
      </c>
      <c r="C281" t="s">
        <v>19</v>
      </c>
      <c r="D281">
        <v>23</v>
      </c>
      <c r="E281" t="str">
        <f>IF(Table1_1[[#This Row],[Age]]&lt;=18,"CHILD",IF(Table1_1[[#This Row],[Age]]&lt;59,"ADULT","SENIOR"))</f>
        <v>ADULT</v>
      </c>
      <c r="F281" t="str">
        <f>IF(AND(Table1_1[[#This Row],[Age]]&gt;=60,Table1_1[[#This Row],[Insurance Status]]="INSURED"),"SENIOR ELIGIBLE","NOT ELIGIBLE")</f>
        <v>NOT ELIGIBLE</v>
      </c>
      <c r="G281" t="s">
        <v>16</v>
      </c>
      <c r="H281" t="s">
        <v>325</v>
      </c>
      <c r="I281" t="s">
        <v>336</v>
      </c>
      <c r="J281" s="1">
        <v>46071</v>
      </c>
      <c r="K281" s="1">
        <v>46072</v>
      </c>
      <c r="L281" t="s">
        <v>17</v>
      </c>
      <c r="M281" t="s">
        <v>330</v>
      </c>
      <c r="N281">
        <v>4427</v>
      </c>
      <c r="O281" t="str">
        <f>IF(OR(Table1_1[[#This Row],[Treatment Cost]]&gt;=20000,Table1_1[[#Headers],[Room Type]]="ICU"),"HIGH COST","NORMAL COST")</f>
        <v>NORMAL COST</v>
      </c>
      <c r="P281" t="s">
        <v>322</v>
      </c>
      <c r="Q281" t="s">
        <v>323</v>
      </c>
    </row>
    <row r="282" spans="1:17" x14ac:dyDescent="0.35">
      <c r="A282" t="s">
        <v>186</v>
      </c>
      <c r="B282" t="s">
        <v>340</v>
      </c>
      <c r="C282" t="s">
        <v>19</v>
      </c>
      <c r="D282">
        <v>52</v>
      </c>
      <c r="E282" t="str">
        <f>IF(Table1_1[[#This Row],[Age]]&lt;=18,"CHILD",IF(Table1_1[[#This Row],[Age]]&lt;59,"ADULT","SENIOR"))</f>
        <v>ADULT</v>
      </c>
      <c r="F282" t="str">
        <f>IF(AND(Table1_1[[#This Row],[Age]]&gt;=60,Table1_1[[#This Row],[Insurance Status]]="INSURED"),"SENIOR ELIGIBLE","NOT ELIGIBLE")</f>
        <v>NOT ELIGIBLE</v>
      </c>
      <c r="G282" t="s">
        <v>26</v>
      </c>
      <c r="H282" t="s">
        <v>342</v>
      </c>
      <c r="I282" t="s">
        <v>336</v>
      </c>
      <c r="J282" s="1">
        <v>46051</v>
      </c>
      <c r="K282" s="1">
        <v>46053</v>
      </c>
      <c r="L282" t="s">
        <v>17</v>
      </c>
      <c r="M282" t="s">
        <v>328</v>
      </c>
      <c r="N282">
        <v>4339</v>
      </c>
      <c r="O282" t="str">
        <f>IF(OR(Table1_1[[#This Row],[Treatment Cost]]&gt;=20000,Table1_1[[#Headers],[Room Type]]="ICU"),"HIGH COST","NORMAL COST")</f>
        <v>NORMAL COST</v>
      </c>
      <c r="P282" t="s">
        <v>322</v>
      </c>
      <c r="Q282" t="s">
        <v>23</v>
      </c>
    </row>
    <row r="283" spans="1:17" x14ac:dyDescent="0.35">
      <c r="A283" t="s">
        <v>34</v>
      </c>
      <c r="B283" t="s">
        <v>340</v>
      </c>
      <c r="C283" t="s">
        <v>19</v>
      </c>
      <c r="D283">
        <v>27</v>
      </c>
      <c r="E283" t="str">
        <f>IF(Table1_1[[#This Row],[Age]]&lt;=18,"CHILD",IF(Table1_1[[#This Row],[Age]]&lt;59,"ADULT","SENIOR"))</f>
        <v>ADULT</v>
      </c>
      <c r="F283" t="str">
        <f>IF(AND(Table1_1[[#This Row],[Age]]&gt;=60,Table1_1[[#This Row],[Insurance Status]]="INSURED"),"SENIOR ELIGIBLE","NOT ELIGIBLE")</f>
        <v>NOT ELIGIBLE</v>
      </c>
      <c r="G283" t="s">
        <v>26</v>
      </c>
      <c r="H283" t="s">
        <v>329</v>
      </c>
      <c r="I283" t="s">
        <v>320</v>
      </c>
      <c r="J283" s="1">
        <v>46097</v>
      </c>
      <c r="K283" s="1">
        <v>46106</v>
      </c>
      <c r="L283" t="s">
        <v>327</v>
      </c>
      <c r="M283" t="s">
        <v>328</v>
      </c>
      <c r="N283">
        <v>3918</v>
      </c>
      <c r="O283" t="str">
        <f>IF(OR(Table1_1[[#This Row],[Treatment Cost]]&gt;=20000,Table1_1[[#Headers],[Room Type]]="ICU"),"HIGH COST","NORMAL COST")</f>
        <v>NORMAL COST</v>
      </c>
      <c r="P283" t="s">
        <v>322</v>
      </c>
      <c r="Q283" t="s">
        <v>23</v>
      </c>
    </row>
    <row r="284" spans="1:17" x14ac:dyDescent="0.35">
      <c r="A284" t="s">
        <v>35</v>
      </c>
      <c r="B284" t="s">
        <v>334</v>
      </c>
      <c r="C284" t="s">
        <v>19</v>
      </c>
      <c r="D284">
        <v>60</v>
      </c>
      <c r="E284" t="str">
        <f>IF(Table1_1[[#This Row],[Age]]&lt;=18,"CHILD",IF(Table1_1[[#This Row],[Age]]&lt;59,"ADULT","SENIOR"))</f>
        <v>SENIOR</v>
      </c>
      <c r="F284" t="str">
        <f>IF(AND(Table1_1[[#This Row],[Age]]&gt;=60,Table1_1[[#This Row],[Insurance Status]]="INSURED"),"SENIOR ELIGIBLE","NOT ELIGIBLE")</f>
        <v>NOT ELIGIBLE</v>
      </c>
      <c r="G284" t="s">
        <v>22</v>
      </c>
      <c r="H284" t="s">
        <v>342</v>
      </c>
      <c r="I284" t="s">
        <v>336</v>
      </c>
      <c r="J284" s="1">
        <v>46090</v>
      </c>
      <c r="K284" s="1">
        <v>46091</v>
      </c>
      <c r="L284" t="s">
        <v>339</v>
      </c>
      <c r="M284" t="s">
        <v>330</v>
      </c>
      <c r="N284">
        <v>3801</v>
      </c>
      <c r="O284" t="str">
        <f>IF(OR(Table1_1[[#This Row],[Treatment Cost]]&gt;=20000,Table1_1[[#Headers],[Room Type]]="ICU"),"HIGH COST","NORMAL COST")</f>
        <v>NORMAL COST</v>
      </c>
      <c r="P284" t="s">
        <v>322</v>
      </c>
      <c r="Q284" t="s">
        <v>333</v>
      </c>
    </row>
    <row r="285" spans="1:17" x14ac:dyDescent="0.35">
      <c r="A285" t="s">
        <v>73</v>
      </c>
      <c r="B285" t="s">
        <v>341</v>
      </c>
      <c r="C285" t="s">
        <v>15</v>
      </c>
      <c r="D285">
        <v>18</v>
      </c>
      <c r="E285" t="str">
        <f>IF(Table1_1[[#This Row],[Age]]&lt;=18,"CHILD",IF(Table1_1[[#This Row],[Age]]&lt;59,"ADULT","SENIOR"))</f>
        <v>CHILD</v>
      </c>
      <c r="F285" t="str">
        <f>IF(AND(Table1_1[[#This Row],[Age]]&gt;=60,Table1_1[[#This Row],[Insurance Status]]="INSURED"),"SENIOR ELIGIBLE","NOT ELIGIBLE")</f>
        <v>NOT ELIGIBLE</v>
      </c>
      <c r="G285" t="s">
        <v>26</v>
      </c>
      <c r="H285" t="s">
        <v>342</v>
      </c>
      <c r="I285" t="s">
        <v>338</v>
      </c>
      <c r="J285" s="1">
        <v>46123</v>
      </c>
      <c r="K285" s="1">
        <v>46133</v>
      </c>
      <c r="L285" t="s">
        <v>339</v>
      </c>
      <c r="M285" t="s">
        <v>321</v>
      </c>
      <c r="N285">
        <v>3759</v>
      </c>
      <c r="O285" t="str">
        <f>IF(OR(Table1_1[[#This Row],[Treatment Cost]]&gt;=20000,Table1_1[[#Headers],[Room Type]]="ICU"),"HIGH COST","NORMAL COST")</f>
        <v>NORMAL COST</v>
      </c>
      <c r="P285" t="s">
        <v>331</v>
      </c>
      <c r="Q285" t="s">
        <v>323</v>
      </c>
    </row>
    <row r="286" spans="1:17" x14ac:dyDescent="0.35">
      <c r="A286" t="s">
        <v>279</v>
      </c>
      <c r="B286" t="s">
        <v>334</v>
      </c>
      <c r="C286" t="s">
        <v>19</v>
      </c>
      <c r="D286">
        <v>76</v>
      </c>
      <c r="E286" t="str">
        <f>IF(Table1_1[[#This Row],[Age]]&lt;=18,"CHILD",IF(Table1_1[[#This Row],[Age]]&lt;59,"ADULT","SENIOR"))</f>
        <v>SENIOR</v>
      </c>
      <c r="F286" t="str">
        <f>IF(AND(Table1_1[[#This Row],[Age]]&gt;=60,Table1_1[[#This Row],[Insurance Status]]="INSURED"),"SENIOR ELIGIBLE","NOT ELIGIBLE")</f>
        <v>NOT ELIGIBLE</v>
      </c>
      <c r="G286" t="s">
        <v>16</v>
      </c>
      <c r="H286" t="s">
        <v>329</v>
      </c>
      <c r="I286" t="s">
        <v>338</v>
      </c>
      <c r="J286" s="1">
        <v>46168</v>
      </c>
      <c r="K286" s="1">
        <v>46169</v>
      </c>
      <c r="L286" t="s">
        <v>327</v>
      </c>
      <c r="M286" t="s">
        <v>328</v>
      </c>
      <c r="N286">
        <v>3742</v>
      </c>
      <c r="O286" t="str">
        <f>IF(OR(Table1_1[[#This Row],[Treatment Cost]]&gt;=20000,Table1_1[[#Headers],[Room Type]]="ICU"),"HIGH COST","NORMAL COST")</f>
        <v>NORMAL COST</v>
      </c>
      <c r="P286" t="s">
        <v>322</v>
      </c>
      <c r="Q286" t="s">
        <v>333</v>
      </c>
    </row>
    <row r="287" spans="1:17" x14ac:dyDescent="0.35">
      <c r="A287" t="s">
        <v>153</v>
      </c>
      <c r="B287" t="s">
        <v>337</v>
      </c>
      <c r="C287" t="s">
        <v>19</v>
      </c>
      <c r="D287">
        <v>69</v>
      </c>
      <c r="E287" t="str">
        <f>IF(Table1_1[[#This Row],[Age]]&lt;=18,"CHILD",IF(Table1_1[[#This Row],[Age]]&lt;59,"ADULT","SENIOR"))</f>
        <v>SENIOR</v>
      </c>
      <c r="F287" t="str">
        <f>IF(AND(Table1_1[[#This Row],[Age]]&gt;=60,Table1_1[[#This Row],[Insurance Status]]="INSURED"),"SENIOR ELIGIBLE","NOT ELIGIBLE")</f>
        <v>SENIOR ELIGIBLE</v>
      </c>
      <c r="G287" t="s">
        <v>26</v>
      </c>
      <c r="H287" t="s">
        <v>325</v>
      </c>
      <c r="I287" t="s">
        <v>320</v>
      </c>
      <c r="J287" s="1">
        <v>46095</v>
      </c>
      <c r="K287" s="1">
        <v>46100</v>
      </c>
      <c r="L287" t="s">
        <v>17</v>
      </c>
      <c r="M287" t="s">
        <v>328</v>
      </c>
      <c r="N287">
        <v>3720</v>
      </c>
      <c r="O287" t="str">
        <f>IF(OR(Table1_1[[#This Row],[Treatment Cost]]&gt;=20000,Table1_1[[#Headers],[Room Type]]="ICU"),"HIGH COST","NORMAL COST")</f>
        <v>NORMAL COST</v>
      </c>
      <c r="P287" t="s">
        <v>331</v>
      </c>
      <c r="Q287" t="s">
        <v>333</v>
      </c>
    </row>
    <row r="288" spans="1:17" x14ac:dyDescent="0.35">
      <c r="A288" t="s">
        <v>113</v>
      </c>
      <c r="B288" t="s">
        <v>318</v>
      </c>
      <c r="C288" t="s">
        <v>19</v>
      </c>
      <c r="D288">
        <v>71</v>
      </c>
      <c r="E288" t="str">
        <f>IF(Table1_1[[#This Row],[Age]]&lt;=18,"CHILD",IF(Table1_1[[#This Row],[Age]]&lt;59,"ADULT","SENIOR"))</f>
        <v>SENIOR</v>
      </c>
      <c r="F288" t="str">
        <f>IF(AND(Table1_1[[#This Row],[Age]]&gt;=60,Table1_1[[#This Row],[Insurance Status]]="INSURED"),"SENIOR ELIGIBLE","NOT ELIGIBLE")</f>
        <v>NOT ELIGIBLE</v>
      </c>
      <c r="G288" t="s">
        <v>26</v>
      </c>
      <c r="H288" t="s">
        <v>342</v>
      </c>
      <c r="I288" t="s">
        <v>338</v>
      </c>
      <c r="J288" s="1">
        <v>46023</v>
      </c>
      <c r="K288" s="1">
        <v>46031</v>
      </c>
      <c r="L288" t="s">
        <v>332</v>
      </c>
      <c r="M288" t="s">
        <v>330</v>
      </c>
      <c r="N288">
        <v>3441</v>
      </c>
      <c r="O288" t="str">
        <f>IF(OR(Table1_1[[#This Row],[Treatment Cost]]&gt;=20000,Table1_1[[#Headers],[Room Type]]="ICU"),"HIGH COST","NORMAL COST")</f>
        <v>NORMAL COST</v>
      </c>
      <c r="P288" t="s">
        <v>322</v>
      </c>
      <c r="Q288" t="s">
        <v>323</v>
      </c>
    </row>
    <row r="289" spans="1:17" x14ac:dyDescent="0.35">
      <c r="A289" t="s">
        <v>74</v>
      </c>
      <c r="B289" t="s">
        <v>324</v>
      </c>
      <c r="C289" t="s">
        <v>15</v>
      </c>
      <c r="D289">
        <v>51</v>
      </c>
      <c r="E289" t="str">
        <f>IF(Table1_1[[#This Row],[Age]]&lt;=18,"CHILD",IF(Table1_1[[#This Row],[Age]]&lt;59,"ADULT","SENIOR"))</f>
        <v>ADULT</v>
      </c>
      <c r="F289" t="str">
        <f>IF(AND(Table1_1[[#This Row],[Age]]&gt;=60,Table1_1[[#This Row],[Insurance Status]]="INSURED"),"SENIOR ELIGIBLE","NOT ELIGIBLE")</f>
        <v>NOT ELIGIBLE</v>
      </c>
      <c r="G289" t="s">
        <v>20</v>
      </c>
      <c r="H289" t="s">
        <v>325</v>
      </c>
      <c r="I289" t="s">
        <v>320</v>
      </c>
      <c r="J289" s="1">
        <v>46190</v>
      </c>
      <c r="K289" s="1">
        <v>46199</v>
      </c>
      <c r="L289" t="s">
        <v>339</v>
      </c>
      <c r="M289" t="s">
        <v>335</v>
      </c>
      <c r="N289">
        <v>3354</v>
      </c>
      <c r="O289" t="str">
        <f>IF(OR(Table1_1[[#This Row],[Treatment Cost]]&gt;=20000,Table1_1[[#Headers],[Room Type]]="ICU"),"HIGH COST","NORMAL COST")</f>
        <v>NORMAL COST</v>
      </c>
      <c r="P289" t="s">
        <v>322</v>
      </c>
      <c r="Q289" t="s">
        <v>23</v>
      </c>
    </row>
    <row r="290" spans="1:17" x14ac:dyDescent="0.35">
      <c r="A290" t="s">
        <v>132</v>
      </c>
      <c r="B290" t="s">
        <v>334</v>
      </c>
      <c r="C290" t="s">
        <v>19</v>
      </c>
      <c r="D290">
        <v>38</v>
      </c>
      <c r="E290" t="str">
        <f>IF(Table1_1[[#This Row],[Age]]&lt;=18,"CHILD",IF(Table1_1[[#This Row],[Age]]&lt;59,"ADULT","SENIOR"))</f>
        <v>ADULT</v>
      </c>
      <c r="F290" t="str">
        <f>IF(AND(Table1_1[[#This Row],[Age]]&gt;=60,Table1_1[[#This Row],[Insurance Status]]="INSURED"),"SENIOR ELIGIBLE","NOT ELIGIBLE")</f>
        <v>NOT ELIGIBLE</v>
      </c>
      <c r="G290" t="s">
        <v>26</v>
      </c>
      <c r="H290" t="s">
        <v>342</v>
      </c>
      <c r="I290" t="s">
        <v>336</v>
      </c>
      <c r="J290" s="1">
        <v>46103</v>
      </c>
      <c r="K290" s="1">
        <v>46109</v>
      </c>
      <c r="L290" t="s">
        <v>332</v>
      </c>
      <c r="M290" t="s">
        <v>335</v>
      </c>
      <c r="N290">
        <v>3125</v>
      </c>
      <c r="O290" t="str">
        <f>IF(OR(Table1_1[[#This Row],[Treatment Cost]]&gt;=20000,Table1_1[[#Headers],[Room Type]]="ICU"),"HIGH COST","NORMAL COST")</f>
        <v>NORMAL COST</v>
      </c>
      <c r="P290" t="s">
        <v>331</v>
      </c>
      <c r="Q290" t="s">
        <v>333</v>
      </c>
    </row>
    <row r="291" spans="1:17" x14ac:dyDescent="0.35">
      <c r="A291" t="s">
        <v>282</v>
      </c>
      <c r="B291" t="s">
        <v>337</v>
      </c>
      <c r="C291" t="s">
        <v>19</v>
      </c>
      <c r="D291">
        <v>25</v>
      </c>
      <c r="E291" t="str">
        <f>IF(Table1_1[[#This Row],[Age]]&lt;=18,"CHILD",IF(Table1_1[[#This Row],[Age]]&lt;59,"ADULT","SENIOR"))</f>
        <v>ADULT</v>
      </c>
      <c r="F291" t="str">
        <f>IF(AND(Table1_1[[#This Row],[Age]]&gt;=60,Table1_1[[#This Row],[Insurance Status]]="INSURED"),"SENIOR ELIGIBLE","NOT ELIGIBLE")</f>
        <v>NOT ELIGIBLE</v>
      </c>
      <c r="G291" t="s">
        <v>20</v>
      </c>
      <c r="H291" t="s">
        <v>325</v>
      </c>
      <c r="I291" t="s">
        <v>320</v>
      </c>
      <c r="J291" s="1">
        <v>46140</v>
      </c>
      <c r="K291" s="1">
        <v>46147</v>
      </c>
      <c r="L291" t="s">
        <v>339</v>
      </c>
      <c r="M291" t="s">
        <v>335</v>
      </c>
      <c r="N291">
        <v>2955</v>
      </c>
      <c r="O291" t="str">
        <f>IF(OR(Table1_1[[#This Row],[Treatment Cost]]&gt;=20000,Table1_1[[#Headers],[Room Type]]="ICU"),"HIGH COST","NORMAL COST")</f>
        <v>NORMAL COST</v>
      </c>
      <c r="P291" t="s">
        <v>331</v>
      </c>
      <c r="Q291" t="s">
        <v>323</v>
      </c>
    </row>
    <row r="292" spans="1:17" x14ac:dyDescent="0.35">
      <c r="A292" t="s">
        <v>295</v>
      </c>
      <c r="B292" t="s">
        <v>318</v>
      </c>
      <c r="C292" t="s">
        <v>15</v>
      </c>
      <c r="D292">
        <v>46</v>
      </c>
      <c r="E292" t="str">
        <f>IF(Table1_1[[#This Row],[Age]]&lt;=18,"CHILD",IF(Table1_1[[#This Row],[Age]]&lt;59,"ADULT","SENIOR"))</f>
        <v>ADULT</v>
      </c>
      <c r="F292" t="str">
        <f>IF(AND(Table1_1[[#This Row],[Age]]&gt;=60,Table1_1[[#This Row],[Insurance Status]]="INSURED"),"SENIOR ELIGIBLE","NOT ELIGIBLE")</f>
        <v>NOT ELIGIBLE</v>
      </c>
      <c r="G292" t="s">
        <v>16</v>
      </c>
      <c r="H292" t="s">
        <v>329</v>
      </c>
      <c r="I292" t="s">
        <v>336</v>
      </c>
      <c r="J292" s="1">
        <v>46109</v>
      </c>
      <c r="K292" s="1">
        <v>46116</v>
      </c>
      <c r="L292" t="s">
        <v>339</v>
      </c>
      <c r="M292" t="s">
        <v>328</v>
      </c>
      <c r="N292">
        <v>2800</v>
      </c>
      <c r="O292" t="str">
        <f>IF(OR(Table1_1[[#This Row],[Treatment Cost]]&gt;=20000,Table1_1[[#Headers],[Room Type]]="ICU"),"HIGH COST","NORMAL COST")</f>
        <v>NORMAL COST</v>
      </c>
      <c r="P292" t="s">
        <v>322</v>
      </c>
      <c r="Q292" t="s">
        <v>23</v>
      </c>
    </row>
    <row r="293" spans="1:17" x14ac:dyDescent="0.35">
      <c r="A293" t="s">
        <v>109</v>
      </c>
      <c r="B293" t="s">
        <v>337</v>
      </c>
      <c r="C293" t="s">
        <v>15</v>
      </c>
      <c r="D293">
        <v>80</v>
      </c>
      <c r="E293" t="str">
        <f>IF(Table1_1[[#This Row],[Age]]&lt;=18,"CHILD",IF(Table1_1[[#This Row],[Age]]&lt;59,"ADULT","SENIOR"))</f>
        <v>SENIOR</v>
      </c>
      <c r="F293" t="str">
        <f>IF(AND(Table1_1[[#This Row],[Age]]&gt;=60,Table1_1[[#This Row],[Insurance Status]]="INSURED"),"SENIOR ELIGIBLE","NOT ELIGIBLE")</f>
        <v>SENIOR ELIGIBLE</v>
      </c>
      <c r="G293" t="s">
        <v>16</v>
      </c>
      <c r="H293" t="s">
        <v>329</v>
      </c>
      <c r="I293" t="s">
        <v>338</v>
      </c>
      <c r="J293" s="1">
        <v>46120</v>
      </c>
      <c r="K293" s="1">
        <v>46122</v>
      </c>
      <c r="L293" t="s">
        <v>17</v>
      </c>
      <c r="M293" t="s">
        <v>330</v>
      </c>
      <c r="N293">
        <v>2628</v>
      </c>
      <c r="O293" t="str">
        <f>IF(OR(Table1_1[[#This Row],[Treatment Cost]]&gt;=20000,Table1_1[[#Headers],[Room Type]]="ICU"),"HIGH COST","NORMAL COST")</f>
        <v>NORMAL COST</v>
      </c>
      <c r="P293" t="s">
        <v>331</v>
      </c>
      <c r="Q293" t="s">
        <v>323</v>
      </c>
    </row>
    <row r="294" spans="1:17" x14ac:dyDescent="0.35">
      <c r="A294" t="s">
        <v>267</v>
      </c>
      <c r="B294" t="s">
        <v>334</v>
      </c>
      <c r="C294" t="s">
        <v>15</v>
      </c>
      <c r="D294">
        <v>36</v>
      </c>
      <c r="E294" t="str">
        <f>IF(Table1_1[[#This Row],[Age]]&lt;=18,"CHILD",IF(Table1_1[[#This Row],[Age]]&lt;59,"ADULT","SENIOR"))</f>
        <v>ADULT</v>
      </c>
      <c r="F294" t="str">
        <f>IF(AND(Table1_1[[#This Row],[Age]]&gt;=60,Table1_1[[#This Row],[Insurance Status]]="INSURED"),"SENIOR ELIGIBLE","NOT ELIGIBLE")</f>
        <v>NOT ELIGIBLE</v>
      </c>
      <c r="G294" t="s">
        <v>16</v>
      </c>
      <c r="H294" t="s">
        <v>325</v>
      </c>
      <c r="I294" t="s">
        <v>338</v>
      </c>
      <c r="J294" s="1">
        <v>46147</v>
      </c>
      <c r="K294" s="1">
        <v>46151</v>
      </c>
      <c r="L294" t="s">
        <v>332</v>
      </c>
      <c r="M294" t="s">
        <v>335</v>
      </c>
      <c r="N294">
        <v>2620</v>
      </c>
      <c r="O294" t="str">
        <f>IF(OR(Table1_1[[#This Row],[Treatment Cost]]&gt;=20000,Table1_1[[#Headers],[Room Type]]="ICU"),"HIGH COST","NORMAL COST")</f>
        <v>NORMAL COST</v>
      </c>
      <c r="P294" t="s">
        <v>331</v>
      </c>
      <c r="Q294" t="s">
        <v>323</v>
      </c>
    </row>
    <row r="295" spans="1:17" x14ac:dyDescent="0.35">
      <c r="A295" t="s">
        <v>93</v>
      </c>
      <c r="B295" t="s">
        <v>334</v>
      </c>
      <c r="C295" t="s">
        <v>19</v>
      </c>
      <c r="D295">
        <v>33</v>
      </c>
      <c r="E295" t="str">
        <f>IF(Table1_1[[#This Row],[Age]]&lt;=18,"CHILD",IF(Table1_1[[#This Row],[Age]]&lt;59,"ADULT","SENIOR"))</f>
        <v>ADULT</v>
      </c>
      <c r="F295" t="str">
        <f>IF(AND(Table1_1[[#This Row],[Age]]&gt;=60,Table1_1[[#This Row],[Insurance Status]]="INSURED"),"SENIOR ELIGIBLE","NOT ELIGIBLE")</f>
        <v>NOT ELIGIBLE</v>
      </c>
      <c r="G295" t="s">
        <v>26</v>
      </c>
      <c r="H295" t="s">
        <v>325</v>
      </c>
      <c r="I295" t="s">
        <v>336</v>
      </c>
      <c r="J295" s="1">
        <v>46113</v>
      </c>
      <c r="K295" s="1">
        <v>46122</v>
      </c>
      <c r="L295" t="s">
        <v>17</v>
      </c>
      <c r="M295" t="s">
        <v>330</v>
      </c>
      <c r="N295">
        <v>2570</v>
      </c>
      <c r="O295" t="str">
        <f>IF(OR(Table1_1[[#This Row],[Treatment Cost]]&gt;=20000,Table1_1[[#Headers],[Room Type]]="ICU"),"HIGH COST","NORMAL COST")</f>
        <v>NORMAL COST</v>
      </c>
      <c r="P295" t="s">
        <v>322</v>
      </c>
      <c r="Q295" t="s">
        <v>23</v>
      </c>
    </row>
    <row r="296" spans="1:17" x14ac:dyDescent="0.35">
      <c r="A296" t="s">
        <v>98</v>
      </c>
      <c r="B296" t="s">
        <v>318</v>
      </c>
      <c r="C296" t="s">
        <v>19</v>
      </c>
      <c r="D296">
        <v>25</v>
      </c>
      <c r="E296" t="str">
        <f>IF(Table1_1[[#This Row],[Age]]&lt;=18,"CHILD",IF(Table1_1[[#This Row],[Age]]&lt;59,"ADULT","SENIOR"))</f>
        <v>ADULT</v>
      </c>
      <c r="F296" t="str">
        <f>IF(AND(Table1_1[[#This Row],[Age]]&gt;=60,Table1_1[[#This Row],[Insurance Status]]="INSURED"),"SENIOR ELIGIBLE","NOT ELIGIBLE")</f>
        <v>NOT ELIGIBLE</v>
      </c>
      <c r="G296" t="s">
        <v>16</v>
      </c>
      <c r="H296" t="s">
        <v>319</v>
      </c>
      <c r="I296" t="s">
        <v>336</v>
      </c>
      <c r="J296" s="1">
        <v>46145</v>
      </c>
      <c r="K296" s="1">
        <v>46155</v>
      </c>
      <c r="L296" t="s">
        <v>332</v>
      </c>
      <c r="M296" t="s">
        <v>328</v>
      </c>
      <c r="N296">
        <v>2326</v>
      </c>
      <c r="O296" t="str">
        <f>IF(OR(Table1_1[[#This Row],[Treatment Cost]]&gt;=20000,Table1_1[[#Headers],[Room Type]]="ICU"),"HIGH COST","NORMAL COST")</f>
        <v>NORMAL COST</v>
      </c>
      <c r="P296" t="s">
        <v>331</v>
      </c>
      <c r="Q296" t="s">
        <v>323</v>
      </c>
    </row>
    <row r="297" spans="1:17" x14ac:dyDescent="0.35">
      <c r="A297" t="s">
        <v>117</v>
      </c>
      <c r="B297" t="s">
        <v>337</v>
      </c>
      <c r="C297" t="s">
        <v>15</v>
      </c>
      <c r="D297">
        <v>85</v>
      </c>
      <c r="E297" t="str">
        <f>IF(Table1_1[[#This Row],[Age]]&lt;=18,"CHILD",IF(Table1_1[[#This Row],[Age]]&lt;59,"ADULT","SENIOR"))</f>
        <v>SENIOR</v>
      </c>
      <c r="F297" t="str">
        <f>IF(AND(Table1_1[[#This Row],[Age]]&gt;=60,Table1_1[[#This Row],[Insurance Status]]="INSURED"),"SENIOR ELIGIBLE","NOT ELIGIBLE")</f>
        <v>SENIOR ELIGIBLE</v>
      </c>
      <c r="G297" t="s">
        <v>22</v>
      </c>
      <c r="H297" t="s">
        <v>342</v>
      </c>
      <c r="I297" t="s">
        <v>336</v>
      </c>
      <c r="J297" s="1">
        <v>46137</v>
      </c>
      <c r="K297" s="1">
        <v>46143</v>
      </c>
      <c r="L297" t="s">
        <v>332</v>
      </c>
      <c r="M297" t="s">
        <v>335</v>
      </c>
      <c r="N297">
        <v>2269</v>
      </c>
      <c r="O297" t="str">
        <f>IF(OR(Table1_1[[#This Row],[Treatment Cost]]&gt;=20000,Table1_1[[#Headers],[Room Type]]="ICU"),"HIGH COST","NORMAL COST")</f>
        <v>NORMAL COST</v>
      </c>
      <c r="P297" t="s">
        <v>331</v>
      </c>
      <c r="Q297" t="s">
        <v>333</v>
      </c>
    </row>
    <row r="298" spans="1:17" x14ac:dyDescent="0.35">
      <c r="J298" s="1"/>
      <c r="K298" s="1"/>
      <c r="M298" t="s">
        <v>343</v>
      </c>
      <c r="N298">
        <f>SUM(Table1_1[Treatment Cost])</f>
        <v>7445998</v>
      </c>
    </row>
    <row r="299" spans="1:17" x14ac:dyDescent="0.35">
      <c r="M299">
        <v>5</v>
      </c>
      <c r="N299">
        <f>MAX(Table1_1[[#Data],[#Totals],[Treatment Cost]])</f>
        <v>7445998</v>
      </c>
    </row>
    <row r="300" spans="1:17" x14ac:dyDescent="0.35">
      <c r="M300">
        <v>6</v>
      </c>
      <c r="N300">
        <f>MIN(Table1_1[[#Data],[#Totals],[Treatment Cost]])</f>
        <v>2269</v>
      </c>
    </row>
    <row r="301" spans="1:17" x14ac:dyDescent="0.35">
      <c r="M301">
        <v>7</v>
      </c>
      <c r="N301">
        <f>COUNTA(Table1_1[Patient Name])</f>
        <v>296</v>
      </c>
    </row>
    <row r="302" spans="1:17" x14ac:dyDescent="0.35">
      <c r="M302">
        <v>8</v>
      </c>
      <c r="N302">
        <f>AVERAGEIF(Table1_1[Department],H287,Table1_1[[#Data],[#Totals],[Treatment Cost]])</f>
        <v>24370.478260869564</v>
      </c>
    </row>
    <row r="303" spans="1:17" x14ac:dyDescent="0.35">
      <c r="M303">
        <v>9</v>
      </c>
      <c r="N303">
        <f>SUMIF(Table1_1[[#Data],[#Totals],[Diagnosis]],M294,Table1_1[[#Data],[#Totals],[Treatment Cost]])</f>
        <v>1994141</v>
      </c>
    </row>
    <row r="304" spans="1:17" x14ac:dyDescent="0.35">
      <c r="M304">
        <v>10</v>
      </c>
      <c r="N304">
        <f>COUNTIF(Table1_1[Department],H282)</f>
        <v>67</v>
      </c>
    </row>
    <row r="305" spans="13:13" x14ac:dyDescent="0.35">
      <c r="M305">
        <v>11</v>
      </c>
    </row>
  </sheetData>
  <phoneticPr fontId="7" type="noConversion"/>
  <conditionalFormatting sqref="N1:N1048576">
    <cfRule type="cellIs" dxfId="4" priority="2" operator="greaterThan">
      <formula>25000</formula>
    </cfRule>
  </conditionalFormatting>
  <conditionalFormatting sqref="P1:P1048576">
    <cfRule type="cellIs" dxfId="3" priority="1" operator="equal">
      <formula>"INSURED"</formula>
    </cfRule>
    <cfRule type="cellIs" dxfId="2" priority="3" operator="greaterThan">
      <formula>25000</formula>
    </cfRule>
    <cfRule type="cellIs" dxfId="1" priority="4" operator="greaterThan">
      <formula>25000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91EA-FB74-448B-BCCC-DA9B8DB27285}">
  <sheetPr>
    <outlinePr summaryBelow="0"/>
  </sheetPr>
  <dimension ref="B1:F11"/>
  <sheetViews>
    <sheetView showGridLines="0" workbookViewId="0"/>
  </sheetViews>
  <sheetFormatPr defaultRowHeight="14.5" outlineLevelRow="1" outlineLevelCol="1" x14ac:dyDescent="0.35"/>
  <cols>
    <col min="3" max="3" width="4.90625" bestFit="1" customWidth="1"/>
    <col min="4" max="6" width="12.54296875" bestFit="1" customWidth="1" outlineLevel="1"/>
  </cols>
  <sheetData>
    <row r="1" spans="2:6" ht="15" thickBot="1" x14ac:dyDescent="0.4"/>
    <row r="2" spans="2:6" ht="15.5" x14ac:dyDescent="0.35">
      <c r="B2" s="5" t="s">
        <v>352</v>
      </c>
      <c r="C2" s="5"/>
      <c r="D2" s="10"/>
      <c r="E2" s="10"/>
      <c r="F2" s="10"/>
    </row>
    <row r="3" spans="2:6" ht="15.5" collapsed="1" x14ac:dyDescent="0.35">
      <c r="B3" s="4"/>
      <c r="C3" s="4"/>
      <c r="D3" s="11" t="s">
        <v>354</v>
      </c>
      <c r="E3" s="11">
        <v>10</v>
      </c>
      <c r="F3" s="11">
        <v>20</v>
      </c>
    </row>
    <row r="4" spans="2:6" ht="21" hidden="1" outlineLevel="1" x14ac:dyDescent="0.35">
      <c r="B4" s="7"/>
      <c r="C4" s="7"/>
      <c r="E4" s="13" t="s">
        <v>351</v>
      </c>
      <c r="F4" s="13" t="s">
        <v>351</v>
      </c>
    </row>
    <row r="5" spans="2:6" x14ac:dyDescent="0.35">
      <c r="B5" s="8" t="s">
        <v>353</v>
      </c>
      <c r="C5" s="8"/>
      <c r="D5" s="6"/>
      <c r="E5" s="6"/>
      <c r="F5" s="6"/>
    </row>
    <row r="6" spans="2:6" outlineLevel="1" x14ac:dyDescent="0.35">
      <c r="B6" s="7"/>
      <c r="C6" s="7" t="s">
        <v>349</v>
      </c>
      <c r="D6">
        <v>20</v>
      </c>
      <c r="E6" s="12">
        <v>10</v>
      </c>
      <c r="F6" s="12">
        <v>20</v>
      </c>
    </row>
    <row r="7" spans="2:6" x14ac:dyDescent="0.35">
      <c r="B7" s="8" t="s">
        <v>355</v>
      </c>
      <c r="C7" s="8"/>
      <c r="D7" s="6"/>
      <c r="E7" s="6"/>
      <c r="F7" s="6"/>
    </row>
    <row r="8" spans="2:6" ht="15" outlineLevel="1" thickBot="1" x14ac:dyDescent="0.4">
      <c r="B8" s="9"/>
      <c r="C8" s="9" t="s">
        <v>350</v>
      </c>
      <c r="D8" s="3">
        <v>156365958</v>
      </c>
      <c r="E8" s="3">
        <v>81905978</v>
      </c>
      <c r="F8" s="3">
        <v>156365958</v>
      </c>
    </row>
    <row r="9" spans="2:6" x14ac:dyDescent="0.35">
      <c r="B9" t="s">
        <v>356</v>
      </c>
    </row>
    <row r="10" spans="2:6" x14ac:dyDescent="0.35">
      <c r="B10" t="s">
        <v>357</v>
      </c>
    </row>
    <row r="11" spans="2:6" x14ac:dyDescent="0.35">
      <c r="B11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FFF0-D163-40D8-9EFF-88A830526FB1}">
  <dimension ref="A1:C2"/>
  <sheetViews>
    <sheetView workbookViewId="0">
      <selection activeCell="C2" sqref="C2"/>
    </sheetView>
  </sheetViews>
  <sheetFormatPr defaultRowHeight="14.5" x14ac:dyDescent="0.35"/>
  <cols>
    <col min="1" max="1" width="13" customWidth="1"/>
    <col min="3" max="3" width="10.90625" customWidth="1"/>
  </cols>
  <sheetData>
    <row r="1" spans="1:3" ht="15" thickBot="1" x14ac:dyDescent="0.4">
      <c r="A1" t="s">
        <v>346</v>
      </c>
      <c r="B1" t="s">
        <v>347</v>
      </c>
      <c r="C1" t="s">
        <v>348</v>
      </c>
    </row>
    <row r="2" spans="1:3" ht="15" thickTop="1" x14ac:dyDescent="0.35">
      <c r="A2" s="2">
        <f>SUM(Table1_1[Treatment Cost])</f>
        <v>7445998</v>
      </c>
      <c r="B2">
        <v>20</v>
      </c>
      <c r="C2">
        <f>A2*(1+B2)</f>
        <v>156365958</v>
      </c>
    </row>
  </sheetData>
  <scenarios current="1" show="1" sqref="C2">
    <scenario name="10" locked="1" count="1" user="USER" comment="Created by USER on 7/26/2026">
      <inputCells r="B2" val="10"/>
    </scenario>
    <scenario name="20" locked="1" count="1" user="USER" comment="Created by USER on 7/26/2026">
      <inputCells r="B2" val="20"/>
    </scenario>
  </scenarios>
  <conditionalFormatting sqref="A2">
    <cfRule type="cellIs" dxfId="0" priority="1" operator="greaterThan">
      <formula>25000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8DB5F1-6575-4267-9157-59AEC9052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Scenario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2026-07-21T08:09:21Z</dcterms:created>
  <dcterms:modified xsi:type="dcterms:W3CDTF">2026-09-23T04:10:01Z</dcterms:modified>
</cp:coreProperties>
</file>